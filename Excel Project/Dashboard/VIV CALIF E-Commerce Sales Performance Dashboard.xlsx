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nurag Singh\Downloads\"/>
    </mc:Choice>
  </mc:AlternateContent>
  <xr:revisionPtr revIDLastSave="0" documentId="13_ncr:1_{78067857-6090-41A2-8258-853083364829}" xr6:coauthVersionLast="47" xr6:coauthVersionMax="47" xr10:uidLastSave="{00000000-0000-0000-0000-000000000000}"/>
  <bookViews>
    <workbookView xWindow="-108" yWindow="-108" windowWidth="23256" windowHeight="12456" firstSheet="3" activeTab="7" xr2:uid="{346724B3-1C49-40AE-AA36-C77CF5D6DD09}"/>
  </bookViews>
  <sheets>
    <sheet name="Data" sheetId="1" r:id="rId1"/>
    <sheet name="Summary &amp; Trends" sheetId="5" r:id="rId2"/>
    <sheet name="Matrix" sheetId="6" r:id="rId3"/>
    <sheet name="Qty Distribution" sheetId="7" r:id="rId4"/>
    <sheet name="Product &amp; Map" sheetId="8" r:id="rId5"/>
    <sheet name="Duration &amp; Rating" sheetId="9" r:id="rId6"/>
    <sheet name="Questions &amp; KPIs" sheetId="2" r:id="rId7"/>
    <sheet name="Dashboard" sheetId="3" r:id="rId8"/>
    <sheet name="Logo &amp; Colors" sheetId="4" r:id="rId9"/>
  </sheets>
  <definedNames>
    <definedName name="_xlchart.v5.0" hidden="1">'Product &amp; Map'!$K$40:$L$40</definedName>
    <definedName name="_xlchart.v5.1" hidden="1">'Product &amp; Map'!$K$41:$L$77</definedName>
    <definedName name="_xlchart.v5.10" hidden="1">'Product &amp; Map'!$M$40</definedName>
    <definedName name="_xlchart.v5.11" hidden="1">'Product &amp; Map'!$M$41:$M$77</definedName>
    <definedName name="_xlchart.v5.2" hidden="1">'Product &amp; Map'!$M$40</definedName>
    <definedName name="_xlchart.v5.3" hidden="1">'Product &amp; Map'!$M$41:$M$77</definedName>
    <definedName name="_xlchart.v5.4" hidden="1">'Product &amp; Map'!$F$40:$G$40</definedName>
    <definedName name="_xlchart.v5.5" hidden="1">'Product &amp; Map'!$F$41:$G$98</definedName>
    <definedName name="_xlchart.v5.6" hidden="1">'Product &amp; Map'!$H$40</definedName>
    <definedName name="_xlchart.v5.7" hidden="1">'Product &amp; Map'!$H$41:$H$98</definedName>
    <definedName name="_xlchart.v5.8" hidden="1">'Product &amp; Map'!$K$40:$L$40</definedName>
    <definedName name="_xlchart.v5.9" hidden="1">'Product &amp; Map'!$K$41:$L$77</definedName>
    <definedName name="Slicer_Gender_Value">#N/A</definedName>
    <definedName name="Slicer_Order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5" l="1"/>
  <c r="H4" i="5"/>
  <c r="I8" i="5"/>
  <c r="I4" i="5"/>
  <c r="K8" i="5"/>
  <c r="J8" i="5"/>
  <c r="J4" i="5"/>
  <c r="G8" i="5"/>
  <c r="M41" i="8"/>
  <c r="L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41" i="8"/>
  <c r="F41" i="8"/>
  <c r="L40" i="8"/>
  <c r="K40" i="8"/>
  <c r="H41" i="8"/>
  <c r="G41" i="8"/>
  <c r="G42" i="8"/>
  <c r="H42" i="8"/>
  <c r="G43" i="8"/>
  <c r="H43" i="8"/>
  <c r="G44" i="8"/>
  <c r="H44" i="8"/>
  <c r="G45" i="8"/>
  <c r="H45" i="8"/>
  <c r="G46" i="8"/>
  <c r="H46" i="8"/>
  <c r="G47" i="8"/>
  <c r="H47" i="8"/>
  <c r="G48" i="8"/>
  <c r="H48" i="8"/>
  <c r="G49" i="8"/>
  <c r="H49" i="8"/>
  <c r="G50" i="8"/>
  <c r="H50" i="8"/>
  <c r="G51" i="8"/>
  <c r="H51" i="8"/>
  <c r="G52" i="8"/>
  <c r="H52" i="8"/>
  <c r="G53" i="8"/>
  <c r="H53" i="8"/>
  <c r="G54" i="8"/>
  <c r="H54" i="8"/>
  <c r="G55" i="8"/>
  <c r="H55" i="8"/>
  <c r="G56" i="8"/>
  <c r="H56" i="8"/>
  <c r="G57" i="8"/>
  <c r="H57" i="8"/>
  <c r="G58" i="8"/>
  <c r="H58" i="8"/>
  <c r="G59" i="8"/>
  <c r="H59" i="8"/>
  <c r="G60" i="8"/>
  <c r="H60" i="8"/>
  <c r="G61" i="8"/>
  <c r="H61" i="8"/>
  <c r="G62" i="8"/>
  <c r="H62" i="8"/>
  <c r="G63" i="8"/>
  <c r="H63" i="8"/>
  <c r="G64" i="8"/>
  <c r="H64" i="8"/>
  <c r="G65" i="8"/>
  <c r="H65" i="8"/>
  <c r="G66" i="8"/>
  <c r="H66" i="8"/>
  <c r="G67" i="8"/>
  <c r="H67" i="8"/>
  <c r="G68" i="8"/>
  <c r="H68" i="8"/>
  <c r="G69" i="8"/>
  <c r="H69" i="8"/>
  <c r="G70" i="8"/>
  <c r="H70" i="8"/>
  <c r="G71" i="8"/>
  <c r="H71" i="8"/>
  <c r="G72" i="8"/>
  <c r="H72" i="8"/>
  <c r="G73" i="8"/>
  <c r="H73" i="8"/>
  <c r="G74" i="8"/>
  <c r="H74" i="8"/>
  <c r="G75" i="8"/>
  <c r="H75" i="8"/>
  <c r="G76" i="8"/>
  <c r="H76" i="8"/>
  <c r="G77" i="8"/>
  <c r="H77" i="8"/>
  <c r="G78" i="8"/>
  <c r="H78" i="8"/>
  <c r="G79" i="8"/>
  <c r="H79" i="8"/>
  <c r="G80" i="8"/>
  <c r="H80" i="8"/>
  <c r="G81" i="8"/>
  <c r="H81" i="8"/>
  <c r="G82" i="8"/>
  <c r="H82" i="8"/>
  <c r="G83" i="8"/>
  <c r="H83" i="8"/>
  <c r="G84" i="8"/>
  <c r="H84" i="8"/>
  <c r="G85" i="8"/>
  <c r="H85" i="8"/>
  <c r="G86" i="8"/>
  <c r="H86" i="8"/>
  <c r="G87" i="8"/>
  <c r="H87" i="8"/>
  <c r="G88" i="8"/>
  <c r="H88" i="8"/>
  <c r="G89" i="8"/>
  <c r="H89" i="8"/>
  <c r="G90" i="8"/>
  <c r="H90" i="8"/>
  <c r="G91" i="8"/>
  <c r="H91" i="8"/>
  <c r="G92" i="8"/>
  <c r="H92" i="8"/>
  <c r="G93" i="8"/>
  <c r="H93" i="8"/>
  <c r="G94" i="8"/>
  <c r="H94" i="8"/>
  <c r="G95" i="8"/>
  <c r="H95"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G40" i="8"/>
  <c r="F40" i="8"/>
  <c r="L9" i="6"/>
  <c r="K9" i="6"/>
  <c r="J9" i="6"/>
  <c r="I9" i="6"/>
  <c r="L8" i="6"/>
  <c r="K8" i="6"/>
  <c r="J8" i="6"/>
  <c r="I8" i="6"/>
  <c r="L7" i="6"/>
  <c r="K7" i="6"/>
  <c r="J7" i="6"/>
  <c r="I7" i="6"/>
  <c r="L6" i="6"/>
  <c r="K6" i="6"/>
  <c r="J6" i="6"/>
  <c r="I6" i="6"/>
  <c r="L5" i="6"/>
  <c r="K5" i="6"/>
  <c r="J5" i="6"/>
  <c r="I5" i="6"/>
  <c r="H6" i="6"/>
  <c r="H7" i="6"/>
  <c r="H8" i="6"/>
  <c r="H9" i="6"/>
  <c r="H5" i="6"/>
  <c r="K4" i="5"/>
  <c r="G4" i="5"/>
  <c r="O2" i="1" a="1"/>
  <c r="O2" i="1" s="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<sst xmlns="http://schemas.openxmlformats.org/spreadsheetml/2006/main" count="14693" uniqueCount="2585">
  <si>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</si>
  <si>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</si>
  <si>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</si>
  <si>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</si>
  <si>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</si>
  <si>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</si>
  <si>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</si>
  <si>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</si>
  <si>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</si>
  <si>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</si>
  <si>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</si>
  <si>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</si>
  <si>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</si>
  <si>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</si>
  <si>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</si>
  <si>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</si>
  <si>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</si>
  <si>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</si>
  <si>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</si>
  <si>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</si>
  <si>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</si>
  <si>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</si>
  <si>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</si>
  <si>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</si>
  <si>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</si>
  <si>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</si>
  <si>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</si>
  <si>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</si>
  <si>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</si>
  <si>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</si>
  <si>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</si>
  <si>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</si>
  <si>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</si>
  <si>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</si>
  <si>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</si>
  <si>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</si>
  <si>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</si>
  <si>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</si>
  <si>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</si>
  <si>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</si>
  <si>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</si>
  <si>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</si>
  <si>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</si>
  <si>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</si>
  <si>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</si>
  <si>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</si>
  <si>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</si>
  <si>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</si>
  <si>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</si>
  <si>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</si>
  <si>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</si>
  <si>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</si>
  <si>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</si>
  <si>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</si>
  <si>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</si>
  <si>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</si>
  <si>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</si>
  <si>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</si>
  <si>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</si>
  <si>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</si>
  <si>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</si>
  <si>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</si>
  <si>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</si>
  <si>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</si>
  <si>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</si>
  <si>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</si>
  <si>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</si>
  <si>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</si>
  <si>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</si>
  <si>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</si>
  <si>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</si>
  <si>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</si>
  <si>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</si>
  <si>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</si>
  <si>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</si>
  <si>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</si>
  <si>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</si>
  <si>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</si>
  <si>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</si>
  <si>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</si>
  <si>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</si>
  <si>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</si>
  <si>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</si>
  <si>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</si>
  <si>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</si>
  <si>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</si>
  <si>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</si>
  <si>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</si>
  <si>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</si>
  <si>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</si>
  <si>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</si>
  <si>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</si>
  <si>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</si>
  <si>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</si>
  <si>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</si>
  <si>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</si>
  <si>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</si>
  <si>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</si>
  <si>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</si>
  <si>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</si>
  <si>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</si>
  <si>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</si>
  <si>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</si>
  <si>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</si>
  <si>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</si>
  <si>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</si>
  <si>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</si>
  <si>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</si>
  <si>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</si>
  <si>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</si>
  <si>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</si>
  <si>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</si>
  <si>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</si>
  <si>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</si>
  <si>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</si>
  <si>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</si>
  <si>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</si>
  <si>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</si>
  <si>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</si>
  <si>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</si>
  <si>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</si>
  <si>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</si>
  <si>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</si>
  <si>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</si>
  <si>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</si>
  <si>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</si>
  <si>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</si>
  <si>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</si>
  <si>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</si>
  <si>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</si>
  <si>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</si>
  <si>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</si>
  <si>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</si>
  <si>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</si>
  <si>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</si>
  <si>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</si>
  <si>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</si>
  <si>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</si>
  <si>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</si>
  <si>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</si>
  <si>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</si>
  <si>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</si>
  <si>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</si>
  <si>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</si>
  <si>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</si>
  <si>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</si>
  <si>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</si>
  <si>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</si>
  <si>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</si>
  <si>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</si>
  <si>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</si>
  <si>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</si>
  <si>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</si>
  <si>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</si>
  <si>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</si>
  <si>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</si>
  <si>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</si>
  <si>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</si>
  <si>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</si>
  <si>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</si>
  <si>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</si>
  <si>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</si>
  <si>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</si>
  <si>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</si>
  <si>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</si>
  <si>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</si>
  <si>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</si>
  <si>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</si>
  <si>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</si>
  <si>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</si>
  <si>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</si>
  <si>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</si>
  <si>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</si>
  <si>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</si>
  <si>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</si>
  <si>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</si>
  <si>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</si>
  <si>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</si>
  <si>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</si>
  <si>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</si>
  <si>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</si>
  <si>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</si>
  <si>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</si>
  <si>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</si>
  <si>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</si>
  <si>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</si>
  <si>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</si>
  <si>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</si>
  <si>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</si>
  <si>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</si>
  <si>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</si>
  <si>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</si>
  <si>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</si>
  <si>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</si>
  <si>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</si>
  <si>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</si>
  <si>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</si>
  <si>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</si>
  <si>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</si>
  <si>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</si>
  <si>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</si>
  <si>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</si>
  <si>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</si>
  <si>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</si>
  <si>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</si>
  <si>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</si>
  <si>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</si>
  <si>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</si>
  <si>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</si>
  <si>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</si>
  <si>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</si>
  <si>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</si>
  <si>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</si>
  <si>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</si>
  <si>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</si>
  <si>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</si>
  <si>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</si>
  <si>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</si>
  <si>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</si>
  <si>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</si>
  <si>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</si>
  <si>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</si>
  <si>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</si>
  <si>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</si>
  <si>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</si>
  <si>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</si>
  <si>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</si>
  <si>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</si>
  <si>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</si>
  <si>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</si>
  <si>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</si>
  <si>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</si>
  <si>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</si>
  <si>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</si>
  <si>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</si>
  <si>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</si>
  <si>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</si>
  <si>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</si>
  <si>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</si>
  <si>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</si>
  <si>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</si>
  <si>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</si>
  <si>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</si>
  <si>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</si>
  <si>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</si>
  <si>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</si>
  <si>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</si>
  <si>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</si>
  <si>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</si>
  <si>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</si>
  <si>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</si>
  <si>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</si>
  <si>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</si>
  <si>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</si>
  <si>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</si>
  <si>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</si>
  <si>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</si>
  <si>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</si>
  <si>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</si>
  <si>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</si>
  <si>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</si>
  <si>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</si>
  <si>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</si>
  <si>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</si>
  <si>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</si>
  <si>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</si>
  <si>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</si>
  <si>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</si>
  <si>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</si>
  <si>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</si>
  <si>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</si>
  <si>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</si>
  <si>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</si>
  <si>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</si>
  <si>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</si>
  <si>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</si>
  <si>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</si>
  <si>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</si>
  <si>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</si>
  <si>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</si>
  <si>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</si>
  <si>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</si>
  <si>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</si>
  <si>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</si>
  <si>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</si>
  <si>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</si>
  <si>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</si>
  <si>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</si>
  <si>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</si>
  <si>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</si>
  <si>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</si>
  <si>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</si>
  <si>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</si>
  <si>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</si>
  <si>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</si>
  <si>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</si>
  <si>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</si>
  <si>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</si>
  <si>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</si>
  <si>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</si>
  <si>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</si>
  <si>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</si>
  <si>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</si>
  <si>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</si>
  <si>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</si>
  <si>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</si>
  <si>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</si>
  <si>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</si>
  <si>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</si>
  <si>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</si>
  <si>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</si>
  <si>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</si>
  <si>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</si>
  <si>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</si>
  <si>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</si>
  <si>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</si>
  <si>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</si>
  <si>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</si>
  <si>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</si>
  <si>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</si>
  <si>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</si>
  <si>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</si>
  <si>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</si>
  <si>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</si>
  <si>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</si>
  <si>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</si>
  <si>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</si>
  <si>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</si>
  <si>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</si>
  <si>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</si>
  <si>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</si>
  <si>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</si>
  <si>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</si>
  <si>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</si>
  <si>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</si>
  <si>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</si>
  <si>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</si>
  <si>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</si>
  <si>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</si>
  <si>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</si>
  <si>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</si>
  <si>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</si>
  <si>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</si>
  <si>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</si>
  <si>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</si>
  <si>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</si>
  <si>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</si>
  <si>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</si>
  <si>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</si>
  <si>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</si>
  <si>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</si>
  <si>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</si>
  <si>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</si>
  <si>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</si>
  <si>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</si>
  <si>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</si>
  <si>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</si>
  <si>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</si>
  <si>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</si>
  <si>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</si>
  <si>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</si>
  <si>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</si>
  <si>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</si>
  <si>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</si>
  <si>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</si>
  <si>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</si>
  <si>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</si>
  <si>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</si>
  <si>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</si>
  <si>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</si>
  <si>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</si>
  <si>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</si>
  <si>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</si>
  <si>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</si>
  <si>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</si>
  <si>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</si>
  <si>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</si>
  <si>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</si>
  <si>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</si>
  <si>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</si>
  <si>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</si>
  <si>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</si>
  <si>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</si>
  <si>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</si>
  <si>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</si>
  <si>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</si>
  <si>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</si>
  <si>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</si>
  <si>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</si>
  <si>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</si>
  <si>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</si>
  <si>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</si>
  <si>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</si>
  <si>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</si>
  <si>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</si>
  <si>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</si>
  <si>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</si>
  <si>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</si>
  <si>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</si>
  <si>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</si>
  <si>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</si>
  <si>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</si>
  <si>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</si>
  <si>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</si>
  <si>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</si>
  <si>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</si>
  <si>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</si>
  <si>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</si>
  <si>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</si>
  <si>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</si>
  <si>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</si>
  <si>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</si>
  <si>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</si>
  <si>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</si>
  <si>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</si>
  <si>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</si>
  <si>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</si>
  <si>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</si>
  <si>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</si>
  <si>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</si>
  <si>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</si>
  <si>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</si>
  <si>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</si>
  <si>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</si>
  <si>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</si>
  <si>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</si>
  <si>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</si>
  <si>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</si>
  <si>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</si>
  <si>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</si>
  <si>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</si>
  <si>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</si>
  <si>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</si>
  <si>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</si>
  <si>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</si>
  <si>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</si>
  <si>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</si>
  <si>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</si>
  <si>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</si>
  <si>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</si>
  <si>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</si>
  <si>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</si>
  <si>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</si>
  <si>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</si>
  <si>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</si>
  <si>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</si>
  <si>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</si>
  <si>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</si>
  <si>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</si>
  <si>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</si>
  <si>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</si>
  <si>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</si>
  <si>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</si>
  <si>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</si>
  <si>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</si>
  <si>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</si>
  <si>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</si>
  <si>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</si>
  <si>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</si>
  <si>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</si>
  <si>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</si>
  <si>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</si>
  <si>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</si>
  <si>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</si>
  <si>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</si>
  <si>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</si>
  <si>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</si>
  <si>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</si>
  <si>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</si>
  <si>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</si>
  <si>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</si>
  <si>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</si>
  <si>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</si>
  <si>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</si>
  <si>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</si>
  <si>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</si>
  <si>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</si>
  <si>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</si>
  <si>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</si>
  <si>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</si>
  <si>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</si>
  <si>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</si>
  <si>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</si>
  <si>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</si>
  <si>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</si>
  <si>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</si>
  <si>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</si>
  <si>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</si>
  <si>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</si>
  <si>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</si>
  <si>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</si>
  <si>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</si>
  <si>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</si>
  <si>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</si>
  <si>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</si>
  <si>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</si>
  <si>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</si>
  <si>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</si>
  <si>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</si>
  <si>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</si>
  <si>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</si>
  <si>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</si>
  <si>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</si>
  <si>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</si>
  <si>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</si>
  <si>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</si>
  <si>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</si>
  <si>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</si>
  <si>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</si>
  <si>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</si>
  <si>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</si>
  <si>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</si>
  <si>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</si>
  <si>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</si>
  <si>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</si>
  <si>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</si>
  <si>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</si>
  <si>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</si>
  <si>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</si>
  <si>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</si>
  <si>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</si>
  <si>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</si>
  <si>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</si>
  <si>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</si>
  <si>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</si>
  <si>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</si>
  <si>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</si>
  <si>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</si>
  <si>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</si>
  <si>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</si>
  <si>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</si>
  <si>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</si>
  <si>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</si>
  <si>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</si>
  <si>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</si>
  <si>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</si>
  <si>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</si>
  <si>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</si>
  <si>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</si>
  <si>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</si>
  <si>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</si>
  <si>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</si>
  <si>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</si>
  <si>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</si>
  <si>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</si>
  <si>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</si>
  <si>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</si>
  <si>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</si>
  <si>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</si>
  <si>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</si>
  <si>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</si>
  <si>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</si>
  <si>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</si>
  <si>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</si>
  <si>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</si>
  <si>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</si>
  <si>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</si>
  <si>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</si>
  <si>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</si>
  <si>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</si>
  <si>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</si>
  <si>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</si>
  <si>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</si>
  <si>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</si>
  <si>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</si>
  <si>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</si>
  <si>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</si>
  <si>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</si>
  <si>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</si>
  <si>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</si>
  <si>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</si>
  <si>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</si>
  <si>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</si>
  <si>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</si>
  <si>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</si>
  <si>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</si>
  <si>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</si>
  <si>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</si>
  <si>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</si>
  <si>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</si>
  <si>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</si>
  <si>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</si>
  <si>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</si>
  <si>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</si>
  <si>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</si>
  <si>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</si>
  <si>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</si>
  <si>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</si>
  <si>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</si>
  <si>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</si>
  <si>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</si>
  <si>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</si>
  <si>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</si>
  <si>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</si>
  <si>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</si>
  <si>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</si>
  <si>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</si>
  <si>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</si>
  <si>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</si>
  <si>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</si>
  <si>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</si>
  <si>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</si>
  <si>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</si>
  <si>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</si>
  <si>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</si>
  <si>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</si>
  <si>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</si>
  <si>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</si>
  <si>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</si>
  <si>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</si>
  <si>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</si>
  <si>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</si>
  <si>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</si>
  <si>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</si>
  <si>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</si>
  <si>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</si>
  <si>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</si>
  <si>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</si>
  <si>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</si>
  <si>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</si>
  <si>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</si>
  <si>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</si>
  <si>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</si>
  <si>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</si>
  <si>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</si>
  <si>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</si>
  <si>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</si>
  <si>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</si>
  <si>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</si>
  <si>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</si>
  <si>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</si>
  <si>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</si>
  <si>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</si>
  <si>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</si>
  <si>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</si>
  <si>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</si>
  <si>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</si>
  <si>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</si>
  <si>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</si>
  <si>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</si>
  <si>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</si>
  <si>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</si>
  <si>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</si>
  <si>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</si>
  <si>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</si>
  <si>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</si>
  <si>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</si>
  <si>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</si>
  <si>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</si>
  <si>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</si>
  <si>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</si>
  <si>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</si>
  <si>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</si>
  <si>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</si>
  <si>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</si>
  <si>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</si>
  <si>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</si>
  <si>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</si>
  <si>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</si>
  <si>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</si>
  <si>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</si>
  <si>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</si>
  <si>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</si>
  <si>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</si>
  <si>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</si>
  <si>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</si>
  <si>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</si>
  <si>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</si>
  <si>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</si>
  <si>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</si>
  <si>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</si>
  <si>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</si>
  <si>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</si>
  <si>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</si>
  <si>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</si>
  <si>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</si>
  <si>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</si>
  <si>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</si>
  <si>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</si>
  <si>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</si>
  <si>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</si>
  <si>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</si>
  <si>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</si>
  <si>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</si>
  <si>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</si>
  <si>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</si>
  <si>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</si>
  <si>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</si>
  <si>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</si>
  <si>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</si>
  <si>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</si>
  <si>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</si>
  <si>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</si>
  <si>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</si>
  <si>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</si>
  <si>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</si>
  <si>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</si>
  <si>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</si>
  <si>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</si>
  <si>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</si>
  <si>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</si>
  <si>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</si>
  <si>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</si>
  <si>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</si>
  <si>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</si>
  <si>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</si>
  <si>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</si>
  <si>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</si>
  <si>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</si>
  <si>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</si>
  <si>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</si>
  <si>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</si>
  <si>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</si>
  <si>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</si>
  <si>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</si>
  <si>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</si>
  <si>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</si>
  <si>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</si>
  <si>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</si>
  <si>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</si>
  <si>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</si>
  <si>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</si>
  <si>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</si>
  <si>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</si>
  <si>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</si>
  <si>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</si>
  <si>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</si>
  <si>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</si>
  <si>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</si>
  <si>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</si>
  <si>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</si>
  <si>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</si>
  <si>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</si>
  <si>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</si>
  <si>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</si>
  <si>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</si>
  <si>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</si>
  <si>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</si>
  <si>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</si>
  <si>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</si>
  <si>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</si>
  <si>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</si>
  <si>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</si>
  <si>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</si>
  <si>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</si>
  <si>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</si>
  <si>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</si>
  <si>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</si>
  <si>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</si>
  <si>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</si>
  <si>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</si>
  <si>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</si>
  <si>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</si>
  <si>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</si>
  <si>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</si>
  <si>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</si>
  <si>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</si>
  <si>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</si>
  <si>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</si>
  <si>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</si>
  <si>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</si>
  <si>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</si>
  <si>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</si>
  <si>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</si>
  <si>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</si>
  <si>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</si>
  <si>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</si>
  <si>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</si>
  <si>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</si>
  <si>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</si>
  <si>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</si>
  <si>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</si>
  <si>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</si>
  <si>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</si>
  <si>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</si>
  <si>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</si>
  <si>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</si>
  <si>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</si>
  <si>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</si>
  <si>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</si>
  <si>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</si>
  <si>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</si>
  <si>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</si>
  <si>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</si>
  <si>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</si>
  <si>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</si>
  <si>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</si>
  <si>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</si>
  <si>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</si>
  <si>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</si>
  <si>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</si>
  <si>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</si>
  <si>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</si>
  <si>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</si>
  <si>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</si>
  <si>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</si>
  <si>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</si>
  <si>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</si>
  <si>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</si>
  <si>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</si>
  <si>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</si>
  <si>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</si>
  <si>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</si>
  <si>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</si>
  <si>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</si>
  <si>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</si>
  <si>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</si>
  <si>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</si>
  <si>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</si>
  <si>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</si>
  <si>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</si>
  <si>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</si>
  <si>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</si>
  <si>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</si>
  <si>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</si>
  <si>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</si>
  <si>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</si>
  <si>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</si>
  <si>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</si>
  <si>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</si>
  <si>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</si>
  <si>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</si>
  <si>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</si>
  <si>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</si>
  <si>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</si>
  <si>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</si>
  <si>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</si>
  <si>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</si>
  <si>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</si>
  <si>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</si>
  <si>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</si>
  <si>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</si>
  <si>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</si>
  <si>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</si>
  <si>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</si>
  <si>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</si>
  <si>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</si>
  <si>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</si>
  <si>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</si>
  <si>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</si>
  <si>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</si>
  <si>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</si>
  <si>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</si>
  <si>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</si>
  <si>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</si>
  <si>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</si>
  <si>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</si>
  <si>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</si>
  <si>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</si>
  <si>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</si>
  <si>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</si>
  <si>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</si>
  <si>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</si>
  <si>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</si>
  <si>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</si>
  <si>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</si>
  <si>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</si>
  <si>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</si>
  <si>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</si>
  <si>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</si>
  <si>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</si>
  <si>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</si>
  <si>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</si>
  <si>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</si>
  <si>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</si>
  <si>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</si>
  <si>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</si>
  <si>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</si>
  <si>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</si>
  <si>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</si>
  <si>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</si>
  <si>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</si>
  <si>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</si>
  <si>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</si>
  <si>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</si>
  <si>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</si>
  <si>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</si>
  <si>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</si>
  <si>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</si>
  <si>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</si>
  <si>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</si>
  <si>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</si>
  <si>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</si>
  <si>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</si>
  <si>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</si>
  <si>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</si>
  <si>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</si>
  <si>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</si>
  <si>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</si>
  <si>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</si>
  <si>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</si>
  <si>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</si>
  <si>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</si>
  <si>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</si>
  <si>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</si>
  <si>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</si>
  <si>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</si>
  <si>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</si>
  <si>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</si>
  <si>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</si>
  <si>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</si>
  <si>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</si>
  <si>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</si>
  <si>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</si>
  <si>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</si>
  <si>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</si>
  <si>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</si>
  <si>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</si>
  <si>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</si>
  <si>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</si>
  <si>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</si>
  <si>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</si>
  <si>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</si>
  <si>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</si>
  <si>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</si>
  <si>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</si>
  <si>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</si>
  <si>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</si>
  <si>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</si>
  <si>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</si>
  <si>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</si>
  <si>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</si>
  <si>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</si>
  <si>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</si>
  <si>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</si>
  <si>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</si>
  <si>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</si>
  <si>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</si>
  <si>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</si>
  <si>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</si>
  <si>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</si>
  <si>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</si>
  <si>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</si>
  <si>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</si>
  <si>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</si>
  <si>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</si>
  <si>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</si>
  <si>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</si>
  <si>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</si>
  <si>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</si>
  <si>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</si>
  <si>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</si>
  <si>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</si>
  <si>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</si>
  <si>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</si>
  <si>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</si>
  <si>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</si>
  <si>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</si>
  <si>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</si>
  <si>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</si>
  <si>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</si>
  <si>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</si>
  <si>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</si>
  <si>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</si>
  <si>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</si>
  <si>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</si>
  <si>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</si>
  <si>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</si>
  <si>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</si>
  <si>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</si>
  <si>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</si>
  <si>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</si>
  <si>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</si>
  <si>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</si>
  <si>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</si>
  <si>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</si>
  <si>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</si>
  <si>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</si>
  <si>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</si>
  <si>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</si>
  <si>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</si>
  <si>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</si>
  <si>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</si>
  <si>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</si>
  <si>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</si>
  <si>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</si>
  <si>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</si>
  <si>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</si>
  <si>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</si>
  <si>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</si>
  <si>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</si>
  <si>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</si>
  <si>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</si>
  <si>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</si>
  <si>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</si>
  <si>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</si>
  <si>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</si>
  <si>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</si>
  <si>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</si>
  <si>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</si>
  <si>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</si>
  <si>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</si>
  <si>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</si>
  <si>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</si>
  <si>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</si>
  <si>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</si>
  <si>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</si>
  <si>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</si>
  <si>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</si>
  <si>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</si>
  <si>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</si>
  <si>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</si>
  <si>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</si>
  <si>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</si>
  <si>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</si>
  <si>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</si>
  <si>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</si>
  <si>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</si>
  <si>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</si>
  <si>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</si>
  <si>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</si>
  <si>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</si>
  <si>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</si>
  <si>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</si>
  <si>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</si>
  <si>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</si>
  <si>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</si>
  <si>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</si>
  <si>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</si>
  <si>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</si>
  <si>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</si>
  <si>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</si>
  <si>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</si>
  <si>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</si>
  <si>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</si>
  <si>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</si>
  <si>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</si>
  <si>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</si>
  <si>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</si>
  <si>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</si>
  <si>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</si>
  <si>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</si>
  <si>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</si>
  <si>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</si>
  <si>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</si>
  <si>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</si>
  <si>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</si>
  <si>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</si>
  <si>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</si>
  <si>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</si>
  <si>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</si>
  <si>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</si>
  <si>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</si>
  <si>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</si>
  <si>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</si>
  <si>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</si>
  <si>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</si>
  <si>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</si>
  <si>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</si>
  <si>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</si>
  <si>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</si>
  <si>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</si>
  <si>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</si>
  <si>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</si>
  <si>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</si>
  <si>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</si>
  <si>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</si>
  <si>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</si>
  <si>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</si>
  <si>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</si>
  <si>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</si>
  <si>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</si>
  <si>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</si>
  <si>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</si>
  <si>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</si>
  <si>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</si>
  <si>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</si>
  <si>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</si>
  <si>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</si>
  <si>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</si>
  <si>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</si>
  <si>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</si>
  <si>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</si>
  <si>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</si>
  <si>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</si>
  <si>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</si>
  <si>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</si>
  <si>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</si>
  <si>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</si>
  <si>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</si>
  <si>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</si>
  <si>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</si>
  <si>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</si>
  <si>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</si>
  <si>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</si>
  <si>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</si>
  <si>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</si>
  <si>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</si>
  <si>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</si>
  <si>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</si>
  <si>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</si>
  <si>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</si>
  <si>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</si>
  <si>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</si>
  <si>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</si>
  <si>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</si>
  <si>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</si>
  <si>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</si>
  <si>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</si>
  <si>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</si>
  <si>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</si>
  <si>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</si>
  <si>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</si>
  <si>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</si>
  <si>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</si>
  <si>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</si>
  <si>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</si>
  <si>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</si>
  <si>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</si>
  <si>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</si>
  <si>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</si>
  <si>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</si>
  <si>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</si>
  <si>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</si>
  <si>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</si>
  <si>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</si>
  <si>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</si>
  <si>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</si>
  <si>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</si>
  <si>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</si>
  <si>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</si>
  <si>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</si>
  <si>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</si>
  <si>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</si>
  <si>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</si>
  <si>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</si>
  <si>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</si>
  <si>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</si>
  <si>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</si>
  <si>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</si>
  <si>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</si>
  <si>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</si>
  <si>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</si>
  <si>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</si>
  <si>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</si>
  <si>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</si>
  <si>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</si>
  <si>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</si>
  <si>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</si>
  <si>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</si>
  <si>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</si>
  <si>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</si>
  <si>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</si>
  <si>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</si>
  <si>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</si>
  <si>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</si>
  <si>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</si>
  <si>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</si>
  <si>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</si>
  <si>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</si>
  <si>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</si>
  <si>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</si>
  <si>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</si>
  <si>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</si>
  <si>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</si>
  <si>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</si>
  <si>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</si>
  <si>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</si>
  <si>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</si>
  <si>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</si>
  <si>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</si>
  <si>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</si>
  <si>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</si>
  <si>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</si>
  <si>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</si>
  <si>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</si>
  <si>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</si>
  <si>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</si>
  <si>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</si>
  <si>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</si>
  <si>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</si>
  <si>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</si>
  <si>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</si>
  <si>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</si>
  <si>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</si>
  <si>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</si>
  <si>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</si>
  <si>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</si>
  <si>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</si>
  <si>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</si>
  <si>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</si>
  <si>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</si>
  <si>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</si>
  <si>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</si>
  <si>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</si>
  <si>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</si>
  <si>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</si>
  <si>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</si>
  <si>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</si>
  <si>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</si>
  <si>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</si>
  <si>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</si>
  <si>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</si>
  <si>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</si>
  <si>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</si>
  <si>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</si>
  <si>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</si>
  <si>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</si>
  <si>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</si>
  <si>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</si>
  <si>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</si>
  <si>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</si>
  <si>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</si>
  <si>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</si>
  <si>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</si>
  <si>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</si>
  <si>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</si>
  <si>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</si>
  <si>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</si>
  <si>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</si>
  <si>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</si>
  <si>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</si>
  <si>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</si>
  <si>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</si>
  <si>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</si>
  <si>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</si>
  <si>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</si>
  <si>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</si>
  <si>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</si>
  <si>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</si>
  <si>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</si>
  <si>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</si>
  <si>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</si>
  <si>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</si>
  <si>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</si>
  <si>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</si>
  <si>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</si>
  <si>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</si>
  <si>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</si>
  <si>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</si>
  <si>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</si>
  <si>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</si>
  <si>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</si>
  <si>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</si>
  <si>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</si>
  <si>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</si>
  <si>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</si>
  <si>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</si>
  <si>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</si>
  <si>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</si>
  <si>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</si>
  <si>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</si>
  <si>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</si>
  <si>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</si>
  <si>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</si>
  <si>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</si>
  <si>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</si>
  <si>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</si>
  <si>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</si>
  <si>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</si>
  <si>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</si>
  <si>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</si>
  <si>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</si>
  <si>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</si>
  <si>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</si>
  <si>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</si>
  <si>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</si>
  <si>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</si>
  <si>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</si>
  <si>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</si>
  <si>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</si>
  <si>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</si>
  <si>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</si>
  <si>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</si>
  <si>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</si>
  <si>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</si>
  <si>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</si>
  <si>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</si>
  <si>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</si>
  <si>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</si>
  <si>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</si>
  <si>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</si>
  <si>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</si>
  <si>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</si>
  <si>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</si>
  <si>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</si>
  <si>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</si>
  <si>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</si>
  <si>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</si>
  <si>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</si>
  <si>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</si>
  <si>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</si>
  <si>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</si>
  <si>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</si>
  <si>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</si>
  <si>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</si>
  <si>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</si>
  <si>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</si>
  <si>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</si>
  <si>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</si>
  <si>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</si>
  <si>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</si>
  <si>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</si>
  <si>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</si>
  <si>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</si>
  <si>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</si>
  <si>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</si>
  <si>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</si>
  <si>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</si>
  <si>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</si>
  <si>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</si>
  <si>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</si>
  <si>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</si>
  <si>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</si>
  <si>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</si>
  <si>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</si>
  <si>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</si>
  <si>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</si>
  <si>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</si>
  <si>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</si>
  <si>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</si>
  <si>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</si>
  <si>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</si>
  <si>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</si>
  <si>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</si>
  <si>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</si>
  <si>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</si>
  <si>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</si>
  <si>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</si>
  <si>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</si>
  <si>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</si>
  <si>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</si>
  <si>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</si>
  <si>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</si>
  <si>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</si>
  <si>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</si>
  <si>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</si>
  <si>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</si>
  <si>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</si>
  <si>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</si>
  <si>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</si>
  <si>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</si>
  <si>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</si>
  <si>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</si>
  <si>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</si>
  <si>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</si>
  <si>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</si>
  <si>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</si>
  <si>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</si>
  <si>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</si>
  <si>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</si>
  <si>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</si>
  <si>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</si>
  <si>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</si>
  <si>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</si>
  <si>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</si>
  <si>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</si>
  <si>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</si>
  <si>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</si>
  <si>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</si>
  <si>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</si>
  <si>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</si>
  <si>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</si>
  <si>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</si>
  <si>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</si>
  <si>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</si>
  <si>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</si>
  <si>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</si>
  <si>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</si>
  <si>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</si>
  <si>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</si>
  <si>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</si>
  <si>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</si>
  <si>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</si>
  <si>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</si>
  <si>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</si>
  <si>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</si>
  <si>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</si>
  <si>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</si>
  <si>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</si>
  <si>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</si>
  <si>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</si>
  <si>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</si>
  <si>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</si>
  <si>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</si>
  <si>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</si>
  <si>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</si>
  <si>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</si>
  <si>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</si>
  <si>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</si>
  <si>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</si>
  <si>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</si>
  <si>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</si>
  <si>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</si>
  <si>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</si>
  <si>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</si>
  <si>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</si>
  <si>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</si>
  <si>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</si>
  <si>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</si>
  <si>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</si>
  <si>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</si>
  <si>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</si>
  <si>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</si>
  <si>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</si>
  <si>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</si>
  <si>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</si>
  <si>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</si>
  <si>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</si>
  <si>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</si>
  <si>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</si>
  <si>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</si>
  <si>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</si>
  <si>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</si>
  <si>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</si>
  <si>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</si>
  <si>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</si>
  <si>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</si>
  <si>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</si>
  <si>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</si>
  <si>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</si>
  <si>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</si>
  <si>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</si>
  <si>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</si>
  <si>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</si>
  <si>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</si>
  <si>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</si>
  <si>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</si>
  <si>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</si>
  <si>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</si>
  <si>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</si>
  <si>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</si>
  <si>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</si>
  <si>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</si>
  <si>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</si>
  <si>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</si>
  <si>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</si>
  <si>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</si>
  <si>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</si>
  <si>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</si>
  <si>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</si>
  <si>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</si>
  <si>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</si>
  <si>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</si>
  <si>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</si>
  <si>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</si>
  <si>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</si>
  <si>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</si>
  <si>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</si>
  <si>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</si>
  <si>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</si>
  <si>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</si>
  <si>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</si>
  <si>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</si>
  <si>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</si>
  <si>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</si>
  <si>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</si>
  <si>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</si>
  <si>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</si>
  <si>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</si>
  <si>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</si>
  <si>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</si>
  <si>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</si>
  <si>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</si>
  <si>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</si>
  <si>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</si>
  <si>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</si>
  <si>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</si>
  <si>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</si>
  <si>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</si>
  <si>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</si>
  <si>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</si>
  <si>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</si>
  <si>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</si>
  <si>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</si>
  <si>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</si>
  <si>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</si>
  <si>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</si>
  <si>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</si>
  <si>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</si>
  <si>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</si>
  <si>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</si>
  <si>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</si>
  <si>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</si>
  <si>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</si>
  <si>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</si>
  <si>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</si>
  <si>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</si>
  <si>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</si>
  <si>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</si>
  <si>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</si>
  <si>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</si>
  <si>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</si>
  <si>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</si>
  <si>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</si>
  <si>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</si>
  <si>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</si>
  <si>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</si>
  <si>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</si>
  <si>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</si>
  <si>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</si>
  <si>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</si>
  <si>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</si>
  <si>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</si>
  <si>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</si>
  <si>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</si>
  <si>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</si>
  <si>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</si>
  <si>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</si>
  <si>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</si>
  <si>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</si>
  <si>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</si>
  <si>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</si>
  <si>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</si>
  <si>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</si>
  <si>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</si>
  <si>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</si>
  <si>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</si>
  <si>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</si>
  <si>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</si>
  <si>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</si>
  <si>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</si>
  <si>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</si>
  <si>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</si>
  <si>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</si>
  <si>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</si>
  <si>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</si>
  <si>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</si>
  <si>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</si>
  <si>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</si>
  <si>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</si>
  <si>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</si>
  <si>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</si>
  <si>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</si>
  <si>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</si>
  <si>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</si>
  <si>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</si>
  <si>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</si>
  <si>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</si>
  <si>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</si>
  <si>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</si>
  <si>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</si>
  <si>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</si>
  <si>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</si>
  <si>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</si>
  <si>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</si>
  <si>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</si>
  <si>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</si>
  <si>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</si>
  <si>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</si>
  <si>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</si>
  <si>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</si>
  <si>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</si>
  <si>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</si>
  <si>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</si>
  <si>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</si>
  <si>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</si>
  <si>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</si>
  <si>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</si>
  <si>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</si>
  <si>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</si>
  <si>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</si>
  <si>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</si>
  <si>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</si>
  <si>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</si>
  <si>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</si>
  <si>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</si>
  <si>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</si>
  <si>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</si>
  <si>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</si>
  <si>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</si>
  <si>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</si>
  <si>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</si>
  <si>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</si>
  <si>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</si>
  <si>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</si>
  <si>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</si>
  <si>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</si>
  <si>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</si>
  <si>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</si>
  <si>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</si>
  <si>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</si>
  <si>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</si>
  <si>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</si>
  <si>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</si>
  <si>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</si>
  <si>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</si>
  <si>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</si>
  <si>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</si>
  <si>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</si>
  <si>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</si>
  <si>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</si>
  <si>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</si>
  <si>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</si>
  <si>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</si>
  <si>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</si>
  <si>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</si>
  <si>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</si>
  <si>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</si>
  <si>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</si>
  <si>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</si>
  <si>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</si>
  <si>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</si>
  <si>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</si>
  <si>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</si>
  <si>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</si>
  <si>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</si>
  <si>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</si>
  <si>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</si>
  <si>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</si>
  <si>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</si>
  <si>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</si>
  <si>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</si>
  <si>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</si>
  <si>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</si>
  <si>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</si>
  <si>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</si>
  <si>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</si>
  <si>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</si>
  <si>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</si>
  <si>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</si>
  <si>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</si>
  <si>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</si>
  <si>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</si>
  <si>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</si>
  <si>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</si>
  <si>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</si>
  <si>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</si>
  <si>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</si>
  <si>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</si>
  <si>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</si>
  <si>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</si>
  <si>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</si>
  <si>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</si>
  <si>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</si>
  <si>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</si>
  <si>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</si>
  <si>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</si>
  <si>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</si>
  <si>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</si>
  <si>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</si>
  <si>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</si>
  <si>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</si>
  <si>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</si>
  <si>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</si>
  <si>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</si>
  <si>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</si>
  <si>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</si>
  <si>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</si>
  <si>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</si>
  <si>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</si>
  <si>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</si>
  <si>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</si>
  <si>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</si>
  <si>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</si>
  <si>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</si>
  <si>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</si>
  <si>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</si>
  <si>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</si>
  <si>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</si>
  <si>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</si>
  <si>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</si>
  <si>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</si>
  <si>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</si>
  <si>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</si>
  <si>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</si>
  <si>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</si>
  <si>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</si>
  <si>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</si>
  <si>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</si>
  <si>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</si>
  <si>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</si>
  <si>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</si>
  <si>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</si>
  <si>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</si>
  <si>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</si>
  <si>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</si>
  <si>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</si>
  <si>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</si>
  <si>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</si>
  <si>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</si>
  <si>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</si>
  <si>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</si>
  <si>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</si>
  <si>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</si>
  <si>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</si>
  <si>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</si>
  <si>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</si>
  <si>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</si>
  <si>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</si>
  <si>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</si>
  <si>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</si>
  <si>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</si>
  <si>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</si>
  <si>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</si>
  <si>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</si>
  <si>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</si>
  <si>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</si>
  <si>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</si>
  <si>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</si>
  <si>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</si>
  <si>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</si>
  <si>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</si>
  <si>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</si>
  <si>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</si>
  <si>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</si>
  <si>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</si>
  <si>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</si>
  <si>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</si>
  <si>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</si>
  <si>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</si>
  <si>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</si>
  <si>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</si>
  <si>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</si>
  <si>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</si>
  <si>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</si>
  <si>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</si>
  <si>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</si>
  <si>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</si>
  <si>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</si>
  <si>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</si>
  <si>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</si>
  <si>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</si>
  <si>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</si>
  <si>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</si>
  <si>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</si>
  <si>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</si>
  <si>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</si>
  <si>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</si>
  <si>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</si>
  <si>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</si>
  <si>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</si>
  <si>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</si>
  <si>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</si>
  <si>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</si>
  <si>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</si>
  <si>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</si>
  <si>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</si>
  <si>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</si>
  <si>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</si>
  <si>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</si>
  <si>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</si>
  <si>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</si>
  <si>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</si>
  <si>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</si>
  <si>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</si>
  <si>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</si>
  <si>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</si>
  <si>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</si>
  <si>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</si>
  <si>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</si>
  <si>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</si>
  <si>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</si>
  <si>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</si>
  <si>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</si>
  <si>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</si>
  <si>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</si>
  <si>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</si>
  <si>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</si>
  <si>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</si>
  <si>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</si>
  <si>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</si>
  <si>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</si>
  <si>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</si>
  <si>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</si>
  <si>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</si>
  <si>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</si>
  <si>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</si>
  <si>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</si>
  <si>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</si>
  <si>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</si>
  <si>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</si>
  <si>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</si>
  <si>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</si>
  <si>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</si>
  <si>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</si>
  <si>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</si>
  <si>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</si>
  <si>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</si>
  <si>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</si>
  <si>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</si>
  <si>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</si>
  <si>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</si>
  <si>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</si>
  <si>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</si>
  <si>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</si>
  <si>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</si>
  <si>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</si>
  <si>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</si>
  <si>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</si>
  <si>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</si>
  <si>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</si>
  <si>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</si>
  <si>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</si>
  <si>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</si>
  <si>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</si>
  <si>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</si>
  <si>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</si>
  <si>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</si>
  <si>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</si>
  <si>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</si>
  <si>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</si>
  <si>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</si>
  <si>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</si>
  <si>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</si>
  <si>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</si>
  <si>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</si>
  <si>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</si>
  <si>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</si>
  <si>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</si>
  <si>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</si>
  <si>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</si>
  <si>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</si>
  <si>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</si>
  <si>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</si>
  <si>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</si>
  <si>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</si>
  <si>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</si>
  <si>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</si>
  <si>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</si>
  <si>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</si>
  <si>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</si>
  <si>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</si>
  <si>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</si>
  <si>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</si>
  <si>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</si>
  <si>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</si>
  <si>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</si>
  <si>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</si>
  <si>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</si>
  <si>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</si>
  <si>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</si>
  <si>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</si>
  <si>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</si>
  <si>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</si>
  <si>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</si>
  <si>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</si>
  <si>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</si>
  <si>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</si>
  <si>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</si>
  <si>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</si>
  <si>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</si>
  <si>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</si>
  <si>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</si>
  <si>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</si>
  <si>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</si>
  <si>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</si>
  <si>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</si>
  <si>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</si>
  <si>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</si>
  <si>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</si>
  <si>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</si>
  <si>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</si>
  <si>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</si>
  <si>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</si>
  <si>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</si>
  <si>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</si>
  <si>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</si>
  <si>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</si>
  <si>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</si>
  <si>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</si>
  <si>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</si>
  <si>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</si>
  <si>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</si>
  <si>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</si>
  <si>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</si>
  <si>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</si>
  <si>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</si>
  <si>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</si>
  <si>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</si>
  <si>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</si>
  <si>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</si>
  <si>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</si>
  <si>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</si>
  <si>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</si>
  <si>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</si>
  <si>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</si>
  <si>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</si>
  <si>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</si>
  <si>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</si>
  <si>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</si>
  <si>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</si>
  <si>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</si>
  <si>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</si>
  <si>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</si>
  <si>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</si>
  <si>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</si>
  <si>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</si>
  <si>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</si>
  <si>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</si>
  <si>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</si>
  <si>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</si>
  <si>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</si>
  <si>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</si>
  <si>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</si>
  <si>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</si>
  <si>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</si>
  <si>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</si>
  <si>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</si>
  <si>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</si>
  <si>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</si>
  <si>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</si>
  <si>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</si>
  <si>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</si>
  <si>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</si>
  <si>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</si>
  <si>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</si>
  <si>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</si>
  <si>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</si>
  <si>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</si>
  <si>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</si>
  <si>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</si>
  <si>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</si>
  <si>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</si>
  <si>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</si>
  <si>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</si>
  <si>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</si>
  <si>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</si>
  <si>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</si>
  <si>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</si>
  <si>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</si>
  <si>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</si>
  <si>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</si>
  <si>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</si>
  <si>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</si>
  <si>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</si>
  <si>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</si>
  <si>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</si>
  <si>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</si>
  <si>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</si>
  <si>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</si>
  <si>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</si>
  <si>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</si>
  <si>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</si>
  <si>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</si>
  <si>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</si>
  <si>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</si>
  <si>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</si>
  <si>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</si>
  <si>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</si>
  <si>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</si>
  <si>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</si>
  <si>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</si>
  <si>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</si>
  <si>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</si>
  <si>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</si>
  <si>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</si>
  <si>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</si>
  <si>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</si>
  <si>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</si>
  <si>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</si>
  <si>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</si>
  <si>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</si>
  <si>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</si>
  <si>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</si>
  <si>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</si>
  <si>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</si>
  <si>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</si>
  <si>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</si>
  <si>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</si>
  <si>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</si>
  <si>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</si>
  <si>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</si>
  <si>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</si>
  <si>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</si>
  <si>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</si>
  <si>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</si>
  <si>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</si>
  <si>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</si>
  <si>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</si>
  <si>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</si>
  <si>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</si>
  <si>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</si>
  <si>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</si>
  <si>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</si>
  <si>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</si>
  <si>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</si>
  <si>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</si>
  <si>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</si>
  <si>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</si>
  <si>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</si>
  <si>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</si>
  <si>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</si>
  <si>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</si>
  <si>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</si>
  <si>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</si>
  <si>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</si>
  <si>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</si>
  <si>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</si>
  <si>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</si>
  <si>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</si>
  <si>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</si>
  <si>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</si>
  <si>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</si>
  <si>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</si>
  <si>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</si>
  <si>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</si>
  <si>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</si>
  <si>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</si>
  <si>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</si>
  <si>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</si>
  <si>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</si>
  <si>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</si>
  <si>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</si>
  <si>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</si>
  <si>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</si>
  <si>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</si>
  <si>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</si>
  <si>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</si>
  <si>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</si>
  <si>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</si>
  <si>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</si>
  <si>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</si>
  <si>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</si>
  <si>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</si>
  <si>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</si>
  <si>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</si>
  <si>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</si>
  <si>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</si>
  <si>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</si>
  <si>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</si>
  <si>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</si>
  <si>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</si>
  <si>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</si>
  <si>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</si>
  <si>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</si>
  <si>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</si>
  <si>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</si>
  <si>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</si>
  <si>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</si>
  <si>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</si>
  <si>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</si>
  <si>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</si>
  <si>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</si>
  <si>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</si>
  <si>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</si>
  <si>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</si>
  <si>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</si>
  <si>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</si>
  <si>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</si>
  <si>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</si>
  <si>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</si>
  <si>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</si>
  <si>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</si>
  <si>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</si>
  <si>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</si>
  <si>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</si>
  <si>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</si>
  <si>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</si>
  <si>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</si>
  <si>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</si>
  <si>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</si>
  <si>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</si>
  <si>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</si>
  <si>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</si>
  <si>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</si>
  <si>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</si>
  <si>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</si>
  <si>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</si>
  <si>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</si>
  <si>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</si>
  <si>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</si>
  <si>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</si>
  <si>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</si>
  <si>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</si>
  <si>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</si>
  <si>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</si>
  <si>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</si>
  <si>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</si>
  <si>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</si>
  <si>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</si>
  <si>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</si>
  <si>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</si>
  <si>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</si>
  <si>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</si>
  <si>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</si>
  <si>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</si>
  <si>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</si>
  <si>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</si>
  <si>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</si>
  <si>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</si>
  <si>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</si>
  <si>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</si>
  <si>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</si>
  <si>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</si>
  <si>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</si>
  <si>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</si>
  <si>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</si>
  <si>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</si>
  <si>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</si>
  <si>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</si>
  <si>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</si>
  <si>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</si>
  <si>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</si>
  <si>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</si>
  <si>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</si>
  <si>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</si>
  <si>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</si>
  <si>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</si>
  <si>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</si>
  <si>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</si>
  <si>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</si>
  <si>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</si>
  <si>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</si>
  <si>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</si>
  <si>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</si>
  <si>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</si>
  <si>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</si>
  <si>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</si>
  <si>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</si>
  <si>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</si>
  <si>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</si>
  <si>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</si>
  <si>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</si>
  <si>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</si>
  <si>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</si>
  <si>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</si>
  <si>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</si>
  <si>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</si>
  <si>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</si>
  <si>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</si>
  <si>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</si>
  <si>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</si>
  <si>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</si>
  <si>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</si>
  <si>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</si>
  <si>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</si>
  <si>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</si>
  <si>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</si>
  <si>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</si>
  <si>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</si>
  <si>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</si>
  <si>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</si>
  <si>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</si>
  <si>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</si>
  <si>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</si>
  <si>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</si>
  <si>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</si>
  <si>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</si>
  <si>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</si>
  <si>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</si>
  <si>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</si>
  <si>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</si>
  <si>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</si>
  <si>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</si>
  <si>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</si>
  <si>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</si>
  <si>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</si>
  <si>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</si>
  <si>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</si>
  <si>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</si>
  <si>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</si>
  <si>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</si>
  <si>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</si>
  <si>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</si>
  <si>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</si>
  <si>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</si>
  <si>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</si>
  <si>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</si>
  <si>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</si>
  <si>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</si>
  <si>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</si>
  <si>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</si>
  <si>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</si>
  <si>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</si>
  <si>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</si>
  <si>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</si>
  <si>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</si>
  <si>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</si>
  <si>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</si>
  <si>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</si>
  <si>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</si>
  <si>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</si>
  <si>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</si>
  <si>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</si>
  <si>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</si>
  <si>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</si>
  <si>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</si>
  <si>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</si>
  <si>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</si>
  <si>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</si>
  <si>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</si>
  <si>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</si>
  <si>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</si>
  <si>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</si>
  <si>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</si>
  <si>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</si>
  <si>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</si>
  <si>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</si>
  <si>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</si>
  <si>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</si>
  <si>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</si>
  <si>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</si>
  <si>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</si>
  <si>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</si>
  <si>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</si>
  <si>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</si>
  <si>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</si>
  <si>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</si>
  <si>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</si>
  <si>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</si>
  <si>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</si>
  <si>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</si>
  <si>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</si>
  <si>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</si>
  <si>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</si>
  <si>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</si>
  <si>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</si>
  <si>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</si>
  <si>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</si>
  <si>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</si>
  <si>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</si>
  <si>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</si>
  <si>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</si>
  <si>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</si>
  <si>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</si>
  <si>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</si>
  <si>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</si>
  <si>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</si>
  <si>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</si>
  <si>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</si>
  <si>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</si>
  <si>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</si>
  <si>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</si>
  <si>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</si>
  <si>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</si>
  <si>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</si>
  <si>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</si>
  <si>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</si>
  <si>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</si>
  <si>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</si>
  <si>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</si>
  <si>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</si>
  <si>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</si>
  <si>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</si>
  <si>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</si>
  <si>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</si>
  <si>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</si>
  <si>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</si>
  <si>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</si>
  <si>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</si>
  <si>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</si>
  <si>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</si>
  <si>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</si>
  <si>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</si>
  <si>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</si>
  <si>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</si>
  <si>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</si>
  <si>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</si>
  <si>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</si>
  <si>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</si>
  <si>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</si>
  <si>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</si>
  <si>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</si>
  <si>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</si>
  <si>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</si>
  <si>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</si>
  <si>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</si>
  <si>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</si>
  <si>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</si>
  <si>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</si>
  <si>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</si>
  <si>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</si>
  <si>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</si>
  <si>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</si>
  <si>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</si>
  <si>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</si>
  <si>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</si>
  <si>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</si>
  <si>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</si>
  <si>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</si>
  <si>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</si>
  <si>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</si>
  <si>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</si>
  <si>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</si>
  <si>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</si>
  <si>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</si>
  <si>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</si>
  <si>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</si>
  <si>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</si>
  <si>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</si>
  <si>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</si>
  <si>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</si>
  <si>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</si>
  <si>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</si>
  <si>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</si>
  <si>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</si>
  <si>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</si>
  <si>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</si>
  <si>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</si>
  <si>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</si>
  <si>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</si>
  <si>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</si>
  <si>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</si>
  <si>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</si>
  <si>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</si>
  <si>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</si>
  <si>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</si>
  <si>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</si>
  <si>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</si>
  <si>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</si>
  <si>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</si>
  <si>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</si>
  <si>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</si>
  <si>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</si>
  <si>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</si>
  <si>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</si>
  <si>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</si>
  <si>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</si>
  <si>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</si>
  <si>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</si>
  <si>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</si>
  <si>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</si>
  <si>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</si>
  <si>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</si>
  <si>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</si>
  <si>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</si>
  <si>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</si>
  <si>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</si>
  <si>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</si>
  <si>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</si>
  <si>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</si>
  <si>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</si>
  <si>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</si>
  <si>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</si>
  <si>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</si>
  <si>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</si>
  <si>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</si>
  <si>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</si>
  <si>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</si>
  <si>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</si>
  <si>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</si>
  <si>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</si>
  <si>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</si>
  <si>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</si>
  <si>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</si>
  <si>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</si>
  <si>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</si>
  <si>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</si>
  <si>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</si>
  <si>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</si>
  <si>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</si>
  <si>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</si>
  <si>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</si>
  <si>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</si>
  <si>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</si>
  <si>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</si>
  <si>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</si>
  <si>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</si>
  <si>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</si>
  <si>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</si>
  <si>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</si>
  <si>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</si>
  <si>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</si>
  <si>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</si>
  <si>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</si>
  <si>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</si>
  <si>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</si>
  <si>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</si>
  <si>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</si>
  <si>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</si>
  <si>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</si>
  <si>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</si>
  <si>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</si>
  <si>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</si>
  <si>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</si>
  <si>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</si>
  <si>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</si>
  <si>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</si>
  <si>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</si>
  <si>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</si>
  <si>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</si>
  <si>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</si>
  <si>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</si>
  <si>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</si>
  <si>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</si>
  <si>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</si>
  <si>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</si>
  <si>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</si>
  <si>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</si>
  <si>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</si>
  <si>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</si>
  <si>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</si>
  <si>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</si>
  <si>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</si>
  <si>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</si>
  <si>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</si>
  <si>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</si>
  <si>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</si>
  <si>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</si>
  <si>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</si>
  <si>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</si>
  <si>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</si>
  <si>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</si>
  <si>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</si>
  <si>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</si>
  <si>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</si>
  <si>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</si>
  <si>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</si>
  <si>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</si>
  <si>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</si>
  <si>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</si>
  <si>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</si>
  <si>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</si>
  <si>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</si>
  <si>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</si>
  <si>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</si>
  <si>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</si>
  <si>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</si>
  <si>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</si>
  <si>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</si>
  <si>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</si>
  <si>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</si>
  <si>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</si>
  <si>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</si>
  <si>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</si>
  <si>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</si>
  <si>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</si>
  <si>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</si>
  <si>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</si>
  <si>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</si>
  <si>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</si>
  <si>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</si>
  <si>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</si>
  <si>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</si>
  <si>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</si>
  <si>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</si>
  <si>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</si>
  <si>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</si>
  <si>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</si>
  <si>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</si>
  <si>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</si>
  <si>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</si>
  <si>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</si>
  <si>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</si>
  <si>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</si>
  <si>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</si>
  <si>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</si>
  <si>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</si>
  <si>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</si>
  <si>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</si>
  <si>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</si>
  <si>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</si>
  <si>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</si>
  <si>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</si>
  <si>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</si>
  <si>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</si>
  <si>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</si>
  <si>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</si>
  <si>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</si>
  <si>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</si>
  <si>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</si>
  <si>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</si>
  <si>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</si>
  <si>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</si>
  <si>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</si>
  <si>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</si>
  <si>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</si>
  <si>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</si>
  <si>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</si>
  <si>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</si>
  <si>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</si>
  <si>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</si>
  <si>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</si>
  <si>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</si>
  <si>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</si>
  <si>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</si>
  <si>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</si>
  <si>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</si>
  <si>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</si>
  <si>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</si>
  <si>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</si>
  <si>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</si>
  <si>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</si>
  <si>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</si>
  <si>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</si>
  <si>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</si>
  <si>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</si>
  <si>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</si>
  <si>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</si>
  <si>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</si>
  <si>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</si>
  <si>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</si>
  <si>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</si>
  <si>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</si>
  <si>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</si>
  <si>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</si>
  <si>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</si>
  <si>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</si>
  <si>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</si>
  <si>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</si>
  <si>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</si>
  <si>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</si>
  <si>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</si>
  <si>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</si>
  <si>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</si>
  <si>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</si>
  <si>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</si>
  <si>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</si>
  <si>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</si>
  <si>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</si>
  <si>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</si>
  <si>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</si>
  <si>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</si>
  <si>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</si>
  <si>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</si>
  <si>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</si>
  <si>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</si>
  <si>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</si>
  <si>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</si>
  <si>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</si>
  <si>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</si>
  <si>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</si>
  <si>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</si>
  <si>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</si>
  <si>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</si>
  <si>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</si>
  <si>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</si>
  <si>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</si>
  <si>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</si>
  <si>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</si>
  <si>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</si>
  <si>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</si>
  <si>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</si>
  <si>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</si>
  <si>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</si>
  <si>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</si>
  <si>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</si>
  <si>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</si>
  <si>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</si>
  <si>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</si>
  <si>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</si>
  <si>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</si>
  <si>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</si>
  <si>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</si>
  <si>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</si>
  <si>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</si>
  <si>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</si>
  <si>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</si>
  <si>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</si>
  <si>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</si>
  <si>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</si>
  <si>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</si>
  <si>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</si>
  <si>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</si>
  <si>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</si>
  <si>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</si>
  <si>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</si>
  <si>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</si>
  <si>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</si>
  <si>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</si>
  <si>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</si>
  <si>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</si>
  <si>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</si>
  <si>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</si>
  <si>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</si>
  <si>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</si>
  <si>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</si>
  <si>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Count of TX ID</t>
  </si>
  <si>
    <t>Sum of Quantity</t>
  </si>
  <si>
    <t>Sum of Amount</t>
  </si>
  <si>
    <t>Average of Rating C</t>
  </si>
  <si>
    <t>Average of Days to Deliver</t>
  </si>
  <si>
    <t>Values for Display</t>
  </si>
  <si>
    <t>Qty</t>
  </si>
  <si>
    <t>Avg. Days</t>
  </si>
  <si>
    <t>For trends</t>
  </si>
  <si>
    <t>Row Labels</t>
  </si>
  <si>
    <t>Grand Total</t>
  </si>
  <si>
    <t>Column Labels</t>
  </si>
  <si>
    <t>Female</t>
  </si>
  <si>
    <t>Male</t>
  </si>
  <si>
    <t>Other</t>
  </si>
  <si>
    <t>Unknown</t>
  </si>
  <si>
    <t>For matrix</t>
  </si>
  <si>
    <t>6 TO 10</t>
  </si>
  <si>
    <t>More than 10</t>
  </si>
  <si>
    <t xml:space="preserve"> </t>
  </si>
  <si>
    <t>X</t>
  </si>
  <si>
    <t>Products  by Qty</t>
  </si>
  <si>
    <t>Geographical Analysis</t>
  </si>
  <si>
    <t>Map Chart for Amount</t>
  </si>
  <si>
    <t>Map Chart for Qty</t>
  </si>
  <si>
    <t>Shipment Duration Analysis</t>
  </si>
  <si>
    <t>Customer Satisfaction Analysis</t>
  </si>
  <si>
    <t>Jan</t>
  </si>
  <si>
    <t>Feb</t>
  </si>
  <si>
    <t>Mar</t>
  </si>
  <si>
    <t>Qty Distribution</t>
  </si>
  <si>
    <t>Unk</t>
  </si>
  <si>
    <t>Static Summary</t>
  </si>
  <si>
    <t>Dynamic Summary</t>
  </si>
  <si>
    <t>Avg.Rating</t>
  </si>
  <si>
    <t>Avg.Days</t>
  </si>
  <si>
    <t>Qty by Gender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</si>
</sst>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4"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165" fontId="0" fillId="0" borderId="5" xfId="0" applyNumberFormat="1" applyBorder="1" applyAlignment="1">
      <alignment horizontal="center"/>
    </xf>
    <xf numFmtId="165" fontId="0" fillId="0" borderId="6" xfId="0" applyNumberFormat="1" applyBorder="1" applyAlignment="1">
      <alignment horizontal="center"/>
    </xf>
    <xf numFmtId="165" fontId="0" fillId="0" borderId="8" xfId="0" applyNumberFormat="1" applyBorder="1" applyAlignment="1">
      <alignment horizontal="center"/>
    </xf>
    <xf numFmtId="165" fontId="0" fillId="0" borderId="9" xfId="0" applyNumberFormat="1" applyBorder="1" applyAlignment="1">
      <alignment horizontal="center"/>
    </xf>
    <xf numFmtId="0" fontId="1" fillId="0" borderId="4" xfId="0" applyFont="1" applyBorder="1"/>
    <xf numFmtId="0" fontId="1" fillId="0" borderId="7" xfId="0" applyFont="1" applyBorder="1"/>
    <xf numFmtId="0" fontId="1" fillId="0" borderId="2" xfId="0" applyFont="1" applyBorder="1" applyAlignment="1">
      <alignment horizontal="center"/>
    </xf>
    <xf numFmtId="0" fontId="1" fillId="0" borderId="3" xfId="0" applyFont="1" applyBorder="1" applyAlignment="1">
      <alignment horizontal="center"/>
    </xf>
    <xf numFmtId="0" fontId="0" fillId="0" borderId="0" xfId="0" applyNumberFormat="1"/>
  </cellXfs>
  <cellStyles count="2">
    <cellStyle name="Hyperlink" xfId="1" builtinId="8"/>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EF5BDD"/>
      <color rgb="FFEFDBEE"/>
      <color rgb="FFE222C7"/>
      <color rgb="FFE282D2"/>
      <color rgb="FF93CD81"/>
      <color rgb="FFDBCBD4"/>
      <color rgb="FF3D3F41"/>
      <color rgb="FFFFCC00"/>
      <color rgb="FF9FBFAD"/>
      <color rgb="FFB4D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[ecommerce-blank(AutoRecovered).xlsx]Summary &amp; Trends!pvtTrends</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Last 13 Week Trends - Qty &amp; Amount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635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635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635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635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635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635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635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635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635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1"/>
            </a:solidFill>
            <a:ln w="635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cmpd="sng" algn="ctr">
            <a:solidFill>
              <a:schemeClr val="accent1"/>
            </a:solidFill>
            <a:prstDash val="solid"/>
            <a:round/>
          </a:ln>
          <a:effectLst/>
        </c:spPr>
        <c:marker>
          <c:symbol val="circle"/>
          <c:size val="5"/>
          <c:spPr>
            <a:solidFill>
              <a:schemeClr val="accent1"/>
            </a:solidFill>
            <a:ln w="635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cmpd="sng" algn="ctr">
            <a:solidFill>
              <a:schemeClr val="accent1"/>
            </a:solidFill>
            <a:prstDash val="solid"/>
            <a:round/>
          </a:ln>
          <a:effectLst/>
        </c:spPr>
        <c:marker>
          <c:symbol val="circle"/>
          <c:size val="5"/>
          <c:spPr>
            <a:solidFill>
              <a:schemeClr val="accent3"/>
            </a:solidFill>
            <a:ln w="6350" cap="flat" cmpd="sng" algn="ctr">
              <a:solidFill>
                <a:schemeClr val="accent3"/>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 &amp; Trends'!$B$14</c:f>
              <c:strCache>
                <c:ptCount val="1"/>
                <c:pt idx="0">
                  <c:v>Sum of Quantity</c:v>
                </c:pt>
              </c:strCache>
            </c:strRef>
          </c:tx>
          <c:spPr>
            <a:ln w="19050" cap="rnd" cmpd="sng" algn="ctr">
              <a:solidFill>
                <a:schemeClr val="accent1"/>
              </a:solidFill>
              <a:prstDash val="solid"/>
              <a:round/>
            </a:ln>
            <a:effectLst/>
          </c:spPr>
          <c:marker>
            <c:symbol val="circle"/>
            <c:size val="5"/>
            <c:spPr>
              <a:solidFill>
                <a:schemeClr val="accent1"/>
              </a:solidFill>
              <a:ln w="6350" cap="flat" cmpd="sng" algn="ctr">
                <a:solidFill>
                  <a:schemeClr val="accent1"/>
                </a:solidFill>
                <a:prstDash val="solid"/>
                <a:round/>
              </a:ln>
              <a:effectLst/>
            </c:spPr>
          </c:marker>
          <c:cat>
            <c:strRef>
              <c:f>'Summary &amp; Trends'!$A$15:$A$28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'Summary &amp; Trends'!$B$15:$B$28</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9ADE-4245-92F3-4E0035ADBA7A}"/>
            </c:ext>
          </c:extLst>
        </c:ser>
        <c:dLbls>
          <c:showLegendKey val="0"/>
          <c:showVal val="0"/>
          <c:showCatName val="0"/>
          <c:showSerName val="0"/>
          <c:showPercent val="0"/>
          <c:showBubbleSize val="0"/>
        </c:dLbls>
        <c:marker val="1"/>
        <c:smooth val="0"/>
        <c:axId val="1316456527"/>
        <c:axId val="1316459887"/>
      </c:lineChart>
      <c:lineChart>
        <c:grouping val="standard"/>
        <c:varyColors val="0"/>
        <c:ser>
          <c:idx val="1"/>
          <c:order val="1"/>
          <c:tx>
            <c:strRef>
              <c:f>'Summary &amp; Trends'!$C$14</c:f>
              <c:strCache>
                <c:ptCount val="1"/>
                <c:pt idx="0">
                  <c:v>Sum of Amount</c:v>
                </c:pt>
              </c:strCache>
            </c:strRef>
          </c:tx>
          <c:spPr>
            <a:ln w="19050" cap="rnd" cmpd="sng" algn="ctr">
              <a:solidFill>
                <a:schemeClr val="accent3"/>
              </a:solidFill>
              <a:prstDash val="solid"/>
              <a:round/>
            </a:ln>
            <a:effectLst/>
          </c:spPr>
          <c:marker>
            <c:symbol val="circle"/>
            <c:size val="5"/>
            <c:spPr>
              <a:solidFill>
                <a:schemeClr val="accent3"/>
              </a:solidFill>
              <a:ln w="6350" cap="flat" cmpd="sng" algn="ctr">
                <a:solidFill>
                  <a:schemeClr val="accent3"/>
                </a:solidFill>
                <a:prstDash val="solid"/>
                <a:round/>
              </a:ln>
              <a:effectLst/>
            </c:spPr>
          </c:marker>
          <c:cat>
            <c:strRef>
              <c:f>'Summary &amp; Trends'!$A$15:$A$28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'Summary &amp; Trends'!$C$15:$C$28</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3-9ADE-4245-92F3-4E0035ADBA7A}"/>
            </c:ext>
          </c:extLst>
        </c:ser>
        <c:dLbls>
          <c:showLegendKey val="0"/>
          <c:showVal val="0"/>
          <c:showCatName val="0"/>
          <c:showSerName val="0"/>
          <c:showPercent val="0"/>
          <c:showBubbleSize val="0"/>
        </c:dLbls>
        <c:marker val="1"/>
        <c:smooth val="0"/>
        <c:axId val="1982326144"/>
        <c:axId val="1982323264"/>
      </c:lineChart>
      <c:catAx>
        <c:axId val="131645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59887"/>
        <c:crosses val="autoZero"/>
        <c:auto val="1"/>
        <c:lblAlgn val="ctr"/>
        <c:lblOffset val="100"/>
        <c:noMultiLvlLbl val="0"/>
      </c:catAx>
      <c:valAx>
        <c:axId val="1316459887"/>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56527"/>
        <c:crosses val="autoZero"/>
        <c:crossBetween val="between"/>
      </c:valAx>
      <c:valAx>
        <c:axId val="1982323264"/>
        <c:scaling>
          <c:orientation val="minMax"/>
        </c:scaling>
        <c:delete val="0"/>
        <c:axPos val="r"/>
        <c:numFmt formatCode="[$$-409]#,##0"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82326144"/>
        <c:crosses val="max"/>
        <c:crossBetween val="between"/>
      </c:valAx>
      <c:catAx>
        <c:axId val="1982326144"/>
        <c:scaling>
          <c:orientation val="minMax"/>
        </c:scaling>
        <c:delete val="1"/>
        <c:axPos val="b"/>
        <c:numFmt formatCode="General" sourceLinked="1"/>
        <c:majorTickMark val="out"/>
        <c:minorTickMark val="none"/>
        <c:tickLblPos val="nextTo"/>
        <c:crossAx val="1982323264"/>
        <c:crosses val="autoZero"/>
        <c:auto val="1"/>
        <c:lblAlgn val="ctr"/>
        <c:lblOffset val="100"/>
        <c:noMultiLvlLbl val="0"/>
      </c:catAx>
      <c:spPr>
        <a:solidFill>
          <a:schemeClr val="bg1"/>
        </a:solidFill>
        <a:ln>
          <a:noFill/>
        </a:ln>
        <a:effectLst/>
      </c:spPr>
    </c:plotArea>
    <c:plotVisOnly val="1"/>
    <c:dispBlanksAs val="gap"/>
    <c:showDLblsOverMax val="0"/>
    <c:extLst/>
  </c:chart>
  <c:spPr>
    <a:solidFill>
      <a:schemeClr val="bg1"/>
    </a:solid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[ecommerce-blank(AutoRecovered).xlsx]Qty Distribution!pvtQty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'Qty Distribution'!$B$11</c:f>
              <c:strCache>
                <c:ptCount val="1"/>
                <c:pt idx="0">
                  <c:v>Total</c:v>
                </c:pt>
              </c:strCache>
            </c:strRef>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'Qty Distribution'!$A$12:$A$19</c:f>
              <c:strCache>
                <c:ptCount val="7"/>
                <c:pt idx="0">
                  <c:v>1</c:v>
                </c:pt>
                <c:pt idx="1">
                  <c:v>2</c:v>
                </c:pt>
                <c:pt idx="2">
                  <c:v>3</c:v>
                </c:pt>
                <c:pt idx="3">
                  <c:v>4</c:v>
                </c:pt>
                <c:pt idx="4">
                  <c:v>5</c:v>
                </c:pt>
                <c:pt idx="5">
                  <c:v>6 TO 10</c:v>
                </c:pt>
                <c:pt idx="6">
                  <c:v>More than 10</c:v>
                </c:pt>
              </c:strCache>
            </c:strRef>
          </c:cat>
          <c:val>
            <c:numRef>
              <c:f>'Qty Distribution'!$B$12:$B$19</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3EBE-4CB2-B9AF-A5268BBD85C7}"/>
            </c:ext>
          </c:extLst>
        </c:ser>
        <c:dLbls>
          <c:dLblPos val="outEnd"/>
          <c:showLegendKey val="0"/>
          <c:showVal val="1"/>
          <c:showCatName val="0"/>
          <c:showSerName val="0"/>
          <c:showPercent val="0"/>
          <c:showBubbleSize val="0"/>
        </c:dLbls>
        <c:gapWidth val="0"/>
        <c:overlap val="-27"/>
        <c:axId val="1835616736"/>
        <c:axId val="1835615296"/>
      </c:barChart>
      <c:catAx>
        <c:axId val="183561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615296"/>
        <c:crosses val="autoZero"/>
        <c:auto val="1"/>
        <c:lblAlgn val="ctr"/>
        <c:lblOffset val="100"/>
        <c:noMultiLvlLbl val="0"/>
      </c:catAx>
      <c:valAx>
        <c:axId val="1835615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61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[ecommerce-blank(AutoRecovered).xlsx]Product &amp; Map!pvtProduct</c:name>
    <c:fmtId val="10"/>
  </c:pivotSource>
  <c:chart>
    <c:title>
      <c:tx>
        <c:rich>
          <a:bodyPr rot="0" spcFirstLastPara="1" vertOverflow="ellipsis" vert="horz" wrap="square" anchor="ctr" anchorCtr="1"/>
          <a:lstStyle/>
          <a:p>
            <a:pPr algn="ctr">
              <a:defRPr sz="1440" b="0" i="0" u="none" strike="noStrike" kern="1200" spc="0" baseline="0">
                <a:solidFill>
                  <a:schemeClr val="tx1">
                    <a:lumMod val="65000"/>
                    <a:lumOff val="35000"/>
                  </a:schemeClr>
                </a:solidFill>
                <a:latin typeface="+mn-lt"/>
                <a:ea typeface="+mn-ea"/>
                <a:cs typeface="+mn-cs"/>
              </a:defRPr>
            </a:pPr>
            <a:r>
              <a:rPr lang="en-IN" b="1"/>
              <a:t>Which products are Popular? </a:t>
            </a:r>
            <a:r>
              <a:rPr lang="en-IN"/>
              <a:t>Breakdown by Gender</a:t>
            </a:r>
          </a:p>
        </c:rich>
      </c:tx>
      <c:layout>
        <c:manualLayout>
          <c:xMode val="edge"/>
          <c:yMode val="edge"/>
          <c:x val="0.11162622529326691"/>
          <c:y val="1.6699803284206984E-2"/>
        </c:manualLayout>
      </c:layout>
      <c:overlay val="0"/>
      <c:spPr>
        <a:noFill/>
        <a:ln>
          <a:noFill/>
        </a:ln>
        <a:effectLst/>
      </c:spPr>
      <c:txPr>
        <a:bodyPr rot="0" spcFirstLastPara="1" vertOverflow="ellipsis" vert="horz" wrap="square" anchor="ctr" anchorCtr="1"/>
        <a:lstStyle/>
        <a:p>
          <a:pPr algn="ct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38361508452534E-2"/>
          <c:y val="0.15809052524560913"/>
          <c:w val="0.70646846900791382"/>
          <c:h val="0.81057026962538781"/>
        </c:manualLayout>
      </c:layout>
      <c:barChart>
        <c:barDir val="bar"/>
        <c:grouping val="stacked"/>
        <c:varyColors val="0"/>
        <c:ser>
          <c:idx val="0"/>
          <c:order val="0"/>
          <c:tx>
            <c:strRef>
              <c:f>'Product &amp; Map'!$B$11:$B$12</c:f>
              <c:strCache>
                <c:ptCount val="1"/>
                <c:pt idx="0">
                  <c:v>Female</c:v>
                </c:pt>
              </c:strCache>
            </c:strRef>
          </c:tx>
          <c:spPr>
            <a:solidFill>
              <a:schemeClr val="accent1"/>
            </a:solidFill>
            <a:ln>
              <a:noFill/>
            </a:ln>
            <a:effectLst/>
          </c:spPr>
          <c:invertIfNegative val="0"/>
          <c:cat>
            <c:strRef>
              <c:f>'Product &amp; Map'!$A$13:$A$33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&amp; Map'!$B$13:$B$33</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CC94-4DEA-B99D-4E6C4BADD944}"/>
            </c:ext>
          </c:extLst>
        </c:ser>
        <c:ser>
          <c:idx val="1"/>
          <c:order val="1"/>
          <c:tx>
            <c:strRef>
              <c:f>'Product &amp; Map'!$C$11:$C$12</c:f>
              <c:strCache>
                <c:ptCount val="1"/>
                <c:pt idx="0">
                  <c:v>Male</c:v>
                </c:pt>
              </c:strCache>
            </c:strRef>
          </c:tx>
          <c:spPr>
            <a:solidFill>
              <a:schemeClr val="accent3"/>
            </a:solidFill>
            <a:ln>
              <a:noFill/>
            </a:ln>
            <a:effectLst/>
          </c:spPr>
          <c:invertIfNegative val="0"/>
          <c:cat>
            <c:strRef>
              <c:f>'Product &amp; Map'!$A$13:$A$33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&amp; Map'!$C$13:$C$33</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5-CC94-4DEA-B99D-4E6C4BADD944}"/>
            </c:ext>
          </c:extLst>
        </c:ser>
        <c:ser>
          <c:idx val="2"/>
          <c:order val="2"/>
          <c:tx>
            <c:strRef>
              <c:f>'Product &amp; Map'!$D$11:$D$12</c:f>
              <c:strCache>
                <c:ptCount val="1"/>
                <c:pt idx="0">
                  <c:v>Other</c:v>
                </c:pt>
              </c:strCache>
            </c:strRef>
          </c:tx>
          <c:spPr>
            <a:solidFill>
              <a:schemeClr val="accent5"/>
            </a:solidFill>
            <a:ln>
              <a:noFill/>
            </a:ln>
            <a:effectLst/>
          </c:spPr>
          <c:invertIfNegative val="0"/>
          <c:cat>
            <c:strRef>
              <c:f>'Product &amp; Map'!$A$13:$A$33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&amp; Map'!$D$13:$D$33</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6-CC94-4DEA-B99D-4E6C4BADD944}"/>
            </c:ext>
          </c:extLst>
        </c:ser>
        <c:ser>
          <c:idx val="3"/>
          <c:order val="3"/>
          <c:tx>
            <c:strRef>
              <c:f>'Product &amp; Map'!$E$11:$E$12</c:f>
              <c:strCache>
                <c:ptCount val="1"/>
                <c:pt idx="0">
                  <c:v>Unknown</c:v>
                </c:pt>
              </c:strCache>
            </c:strRef>
          </c:tx>
          <c:spPr>
            <a:solidFill>
              <a:schemeClr val="accent1">
                <a:lumMod val="60000"/>
              </a:schemeClr>
            </a:solidFill>
            <a:ln>
              <a:noFill/>
            </a:ln>
            <a:effectLst/>
          </c:spPr>
          <c:invertIfNegative val="0"/>
          <c:cat>
            <c:strRef>
              <c:f>'Product &amp; Map'!$A$13:$A$33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&amp; Map'!$E$13:$E$33</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7-CC94-4DEA-B99D-4E6C4BADD944}"/>
            </c:ext>
          </c:extLst>
        </c:ser>
        <c:dLbls>
          <c:showLegendKey val="0"/>
          <c:showVal val="0"/>
          <c:showCatName val="0"/>
          <c:showSerName val="0"/>
          <c:showPercent val="0"/>
          <c:showBubbleSize val="0"/>
        </c:dLbls>
        <c:gapWidth val="10"/>
        <c:overlap val="100"/>
        <c:axId val="1846278656"/>
        <c:axId val="1846279616"/>
      </c:barChart>
      <c:catAx>
        <c:axId val="1846278656"/>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46279616"/>
        <c:crosses val="autoZero"/>
        <c:auto val="1"/>
        <c:lblAlgn val="ctr"/>
        <c:lblOffset val="100"/>
        <c:noMultiLvlLbl val="0"/>
      </c:catAx>
      <c:valAx>
        <c:axId val="184627961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4627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[ecommerce-blank(AutoRecovered).xlsx]Product &amp; Map!pvtGender</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cap="rnd">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5988993669879714"/>
              <c:y val="0.26951456254437095"/>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9D042F94-B5F8-4534-A813-8FA9CCEB0644}" type="CATEGORYNAME">
                  <a:rPr lang="en-US"/>
                  <a:pPr>
                    <a:defRPr/>
                  </a:pPr>
                  <a:t>[CATEGORY NAME]</a:t>
                </a:fld>
                <a:r>
                  <a:rPr lang="en-US"/>
                  <a:t>,</a:t>
                </a:r>
                <a:r>
                  <a:rPr lang="en-US" baseline="0"/>
                  <a:t> </a:t>
                </a:r>
              </a:p>
              <a:p>
                <a:pPr>
                  <a:defRPr/>
                </a:pPr>
                <a:fld id="{F8F573C5-12DE-4782-834D-D1358E5F0C07}" type="VALUE">
                  <a:rPr lang="en-US" baseline="0"/>
                  <a:pPr>
                    <a:defRPr/>
                  </a:pPr>
                  <a:t>[VALUE]</a:t>
                </a:fld>
                <a:r>
                  <a:rPr lang="en-US" baseline="0"/>
                  <a:t>, </a:t>
                </a:r>
              </a:p>
              <a:p>
                <a:pPr>
                  <a:defRPr/>
                </a:pPr>
                <a:fld id="{069B2D77-0585-4C7E-90D4-708C411A516F}" type="PERCENTAGE">
                  <a:rPr lang="en-US" baseline="0"/>
                  <a:pPr>
                    <a:defRPr/>
                  </a:pPr>
                  <a:t>[PERCENTAGE]</a:t>
                </a:fld>
                <a:endParaRPr lang="en-IN"/>
              </a:p>
            </c:rich>
          </c:tx>
          <c:spPr>
            <a:noFill/>
            <a:ln cap="rnd">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893631717087995"/>
                  <c:h val="0.24978874999325798"/>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9.7581451473012032E-2"/>
              <c:y val="0.20571816854163544"/>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A56BF826-2543-44E4-B8C0-630C51EAE7D9}" type="CATEGORYNAME">
                  <a:rPr lang="en-US"/>
                  <a:pPr>
                    <a:defRPr/>
                  </a:pPr>
                  <a:t>[CATEGORY NAME]</a:t>
                </a:fld>
                <a:r>
                  <a:rPr lang="en-US" baseline="0"/>
                  <a:t>, </a:t>
                </a:r>
              </a:p>
              <a:p>
                <a:pPr>
                  <a:defRPr/>
                </a:pPr>
                <a:fld id="{6555489D-6BC9-4D41-9C12-E909FD1040A6}" type="VALUE">
                  <a:rPr lang="en-US" baseline="0"/>
                  <a:pPr>
                    <a:defRPr/>
                  </a:pPr>
                  <a:t>[VALUE]</a:t>
                </a:fld>
                <a:r>
                  <a:rPr lang="en-US" baseline="0"/>
                  <a:t>,</a:t>
                </a:r>
              </a:p>
              <a:p>
                <a:pPr>
                  <a:defRPr/>
                </a:pPr>
                <a:fld id="{8ADD446F-2A22-4667-8CD8-CEE5A9BBB2E6}" type="PERCENTAGE">
                  <a:rPr lang="en-US" baseline="0"/>
                  <a:pPr>
                    <a:defRPr/>
                  </a:pPr>
                  <a:t>[PERCENTAGE]</a:t>
                </a:fld>
                <a:endParaRPr lang="en-IN"/>
              </a:p>
            </c:rich>
          </c:tx>
          <c:spPr>
            <a:noFill/>
            <a:ln>
              <a:noFill/>
              <a:prstDash val="lgDash"/>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dLbl>
          <c:idx val="0"/>
          <c:layout>
            <c:manualLayout>
              <c:x val="-0.16852846950361378"/>
              <c:y val="-0.1452758955283498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C8EEE28-E845-4D6D-A616-890B34995E9B}" type="CATEGORYNAME">
                  <a:rPr lang="en-US"/>
                  <a:pPr>
                    <a:defRPr/>
                  </a:pPr>
                  <a:t>[CATEGORY NAME]</a:t>
                </a:fld>
                <a:r>
                  <a:rPr lang="en-US" baseline="0"/>
                  <a:t>,</a:t>
                </a:r>
              </a:p>
              <a:p>
                <a:pPr>
                  <a:defRPr/>
                </a:pPr>
                <a:fld id="{B72FD2F2-05DA-4113-9E27-C71D712000D3}" type="VALUE">
                  <a:rPr lang="en-US" baseline="0"/>
                  <a:pPr>
                    <a:defRPr/>
                  </a:pPr>
                  <a:t>[VALUE]</a:t>
                </a:fld>
                <a:r>
                  <a:rPr lang="en-US" baseline="0"/>
                  <a:t>,</a:t>
                </a:r>
                <a:fld id="{F29F0974-31CA-4F37-8413-E0BCE545CF88}" type="PERCENTAGE">
                  <a:rPr lang="en-US" baseline="0"/>
                  <a:pPr>
                    <a:defRPr/>
                  </a:pPr>
                  <a:t>[PERCENTAGE]</a:t>
                </a:fld>
                <a:endParaRPr lang="en-US" baseline="0"/>
              </a:p>
            </c:rich>
          </c:tx>
          <c:spPr>
            <a:noFill/>
            <a:ln cap="rnd">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150600911728138"/>
                  <c:h val="0.27056181714558986"/>
                </c:manualLayout>
              </c15:layout>
              <c15:dlblFieldTable/>
              <c15:showDataLabelsRange val="0"/>
            </c:ext>
          </c:extLst>
        </c:dLbl>
      </c:pivotFmt>
      <c:pivotFmt>
        <c:idx val="10"/>
        <c:spPr>
          <a:solidFill>
            <a:schemeClr val="accent1"/>
          </a:solidFill>
          <a:ln w="19050">
            <a:solidFill>
              <a:schemeClr val="lt1"/>
            </a:solidFill>
          </a:ln>
          <a:effectLst/>
        </c:spPr>
        <c:dLbl>
          <c:idx val="0"/>
          <c:layout>
            <c:manualLayout>
              <c:x val="0.29586942080355161"/>
              <c:y val="-0.118367326953105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11B6418-A66C-4B08-B632-93E1243D7A9E}" type="CATEGORYNAME">
                  <a:rPr lang="en-US"/>
                  <a:pPr>
                    <a:defRPr/>
                  </a:pPr>
                  <a:t>[CATEGORY NAME]</a:t>
                </a:fld>
                <a:r>
                  <a:rPr lang="en-US" baseline="0"/>
                  <a:t>, </a:t>
                </a:r>
              </a:p>
              <a:p>
                <a:pPr>
                  <a:defRPr/>
                </a:pPr>
                <a:fld id="{062798E1-AEFC-45F7-AF32-59B1013F9A19}" type="VALUE">
                  <a:rPr lang="en-US" baseline="0"/>
                  <a:pPr>
                    <a:defRPr/>
                  </a:pPr>
                  <a:t>[VALUE]</a:t>
                </a:fld>
                <a:r>
                  <a:rPr lang="en-US" baseline="0"/>
                  <a:t>, </a:t>
                </a:r>
                <a:fld id="{71C4E386-BB1C-4487-9EAE-DC9EA8ACF589}" type="PERCENTAGE">
                  <a:rPr lang="en-US" baseline="0"/>
                  <a:pPr>
                    <a:defRPr/>
                  </a:pPr>
                  <a:t>[PERCENTAGE]</a:t>
                </a:fld>
                <a:endParaRPr lang="en-US" baseline="0"/>
              </a:p>
            </c:rich>
          </c:tx>
          <c:spPr>
            <a:noFill/>
            <a:ln cap="rnd">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491946401436657"/>
                  <c:h val="0.17805588866135816"/>
                </c:manualLayout>
              </c15:layout>
              <c15:dlblFieldTable/>
              <c15:showDataLabelsRange val="0"/>
            </c:ext>
          </c:extLst>
        </c:dLbl>
      </c:pivotFmt>
    </c:pivotFmts>
    <c:plotArea>
      <c:layout>
        <c:manualLayout>
          <c:layoutTarget val="inner"/>
          <c:xMode val="edge"/>
          <c:yMode val="edge"/>
          <c:x val="0.26805555555555555"/>
          <c:y val="0.30388113894755009"/>
          <c:w val="0.41875339669619949"/>
          <c:h val="0.39769014655078638"/>
        </c:manualLayout>
      </c:layout>
      <c:doughnutChart>
        <c:varyColors val="1"/>
        <c:ser>
          <c:idx val="0"/>
          <c:order val="0"/>
          <c:tx>
            <c:strRef>
              <c:f>'Product &amp; Map'!$K$11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CA-4AAB-A8BA-60DAD18B7F6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FCA-4AAB-A8BA-60DAD18B7F6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AFCA-4AAB-A8BA-60DAD18B7F69}"/>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AFCA-4AAB-A8BA-60DAD18B7F69}"/>
              </c:ext>
            </c:extLst>
          </c:dPt>
          <c:dLbls>
            <c:dLbl>
              <c:idx val="0"/>
              <c:layout>
                <c:manualLayout>
                  <c:x val="0.15988993669879714"/>
                  <c:y val="0.26951456254437095"/>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9D042F94-B5F8-4534-A813-8FA9CCEB0644}" type="CATEGORYNAME">
                      <a:rPr lang="en-US"/>
                      <a:pPr>
                        <a:defRPr/>
                      </a:pPr>
                      <a:t>[CATEGORY NAME]</a:t>
                    </a:fld>
                    <a:r>
                      <a:rPr lang="en-US"/>
                      <a:t>,</a:t>
                    </a:r>
                    <a:r>
                      <a:rPr lang="en-US" baseline="0"/>
                      <a:t> </a:t>
                    </a:r>
                  </a:p>
                  <a:p>
                    <a:pPr>
                      <a:defRPr/>
                    </a:pPr>
                    <a:fld id="{F8F573C5-12DE-4782-834D-D1358E5F0C07}" type="VALUE">
                      <a:rPr lang="en-US" baseline="0"/>
                      <a:pPr>
                        <a:defRPr/>
                      </a:pPr>
                      <a:t>[VALUE]</a:t>
                    </a:fld>
                    <a:r>
                      <a:rPr lang="en-US" baseline="0"/>
                      <a:t>, </a:t>
                    </a:r>
                  </a:p>
                  <a:p>
                    <a:pPr>
                      <a:defRPr/>
                    </a:pPr>
                    <a:fld id="{069B2D77-0585-4C7E-90D4-708C411A516F}" type="PERCENTAGE">
                      <a:rPr lang="en-US" baseline="0"/>
                      <a:pPr>
                        <a:defRPr/>
                      </a:pPr>
                      <a:t>[PERCENTAGE]</a:t>
                    </a:fld>
                    <a:endParaRPr lang="en-IN"/>
                  </a:p>
                </c:rich>
              </c:tx>
              <c:spPr>
                <a:noFill/>
                <a:ln cap="rnd">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893631717087995"/>
                      <c:h val="0.24978874999325798"/>
                    </c:manualLayout>
                  </c15:layout>
                  <c15:dlblFieldTable/>
                  <c15:showDataLabelsRange val="0"/>
                </c:ext>
                <c:ext xmlns:c16="http://schemas.microsoft.com/office/drawing/2014/chart" uri="{C3380CC4-5D6E-409C-BE32-E72D297353CC}">
                  <c16:uniqueId val="{00000001-AFCA-4AAB-A8BA-60DAD18B7F69}"/>
                </c:ext>
              </c:extLst>
            </c:dLbl>
            <c:dLbl>
              <c:idx val="1"/>
              <c:layout>
                <c:manualLayout>
                  <c:x val="-9.7581451473012032E-2"/>
                  <c:y val="0.20571816854163544"/>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A56BF826-2543-44E4-B8C0-630C51EAE7D9}" type="CATEGORYNAME">
                      <a:rPr lang="en-US"/>
                      <a:pPr>
                        <a:defRPr/>
                      </a:pPr>
                      <a:t>[CATEGORY NAME]</a:t>
                    </a:fld>
                    <a:r>
                      <a:rPr lang="en-US" baseline="0"/>
                      <a:t>, </a:t>
                    </a:r>
                  </a:p>
                  <a:p>
                    <a:pPr>
                      <a:defRPr/>
                    </a:pPr>
                    <a:fld id="{6555489D-6BC9-4D41-9C12-E909FD1040A6}" type="VALUE">
                      <a:rPr lang="en-US" baseline="0"/>
                      <a:pPr>
                        <a:defRPr/>
                      </a:pPr>
                      <a:t>[VALUE]</a:t>
                    </a:fld>
                    <a:r>
                      <a:rPr lang="en-US" baseline="0"/>
                      <a:t>,</a:t>
                    </a:r>
                  </a:p>
                  <a:p>
                    <a:pPr>
                      <a:defRPr/>
                    </a:pPr>
                    <a:fld id="{8ADD446F-2A22-4667-8CD8-CEE5A9BBB2E6}" type="PERCENTAGE">
                      <a:rPr lang="en-US" baseline="0"/>
                      <a:pPr>
                        <a:defRPr/>
                      </a:pPr>
                      <a:t>[PERCENTAGE]</a:t>
                    </a:fld>
                    <a:endParaRPr lang="en-IN"/>
                  </a:p>
                </c:rich>
              </c:tx>
              <c:spPr>
                <a:noFill/>
                <a:ln>
                  <a:noFill/>
                  <a:prstDash val="lgDash"/>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AFCA-4AAB-A8BA-60DAD18B7F69}"/>
                </c:ext>
              </c:extLst>
            </c:dLbl>
            <c:dLbl>
              <c:idx val="2"/>
              <c:layout>
                <c:manualLayout>
                  <c:x val="-0.16852846950361378"/>
                  <c:y val="-0.14527589552834985"/>
                </c:manualLayout>
              </c:layout>
              <c:tx>
                <c:rich>
                  <a:bodyPr/>
                  <a:lstStyle/>
                  <a:p>
                    <a:fld id="{7C8EEE28-E845-4D6D-A616-890B34995E9B}" type="CATEGORYNAME">
                      <a:rPr lang="en-US"/>
                      <a:pPr/>
                      <a:t>[CATEGORY NAME]</a:t>
                    </a:fld>
                    <a:r>
                      <a:rPr lang="en-US" baseline="0"/>
                      <a:t>,</a:t>
                    </a:r>
                  </a:p>
                  <a:p>
                    <a:fld id="{B72FD2F2-05DA-4113-9E27-C71D712000D3}" type="VALUE">
                      <a:rPr lang="en-US" baseline="0"/>
                      <a:pPr/>
                      <a:t>[VALUE]</a:t>
                    </a:fld>
                    <a:r>
                      <a:rPr lang="en-US" baseline="0"/>
                      <a:t>,</a:t>
                    </a:r>
                    <a:fld id="{F29F0974-31CA-4F37-8413-E0BCE545CF88}"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layout>
                    <c:manualLayout>
                      <c:w val="0.25150600911728138"/>
                      <c:h val="0.27056181714558986"/>
                    </c:manualLayout>
                  </c15:layout>
                  <c15:dlblFieldTable/>
                  <c15:showDataLabelsRange val="0"/>
                </c:ext>
                <c:ext xmlns:c16="http://schemas.microsoft.com/office/drawing/2014/chart" uri="{C3380CC4-5D6E-409C-BE32-E72D297353CC}">
                  <c16:uniqueId val="{00000005-AFCA-4AAB-A8BA-60DAD18B7F69}"/>
                </c:ext>
              </c:extLst>
            </c:dLbl>
            <c:dLbl>
              <c:idx val="3"/>
              <c:layout>
                <c:manualLayout>
                  <c:x val="0.29586942080355161"/>
                  <c:y val="-0.1183673269531054"/>
                </c:manualLayout>
              </c:layout>
              <c:tx>
                <c:rich>
                  <a:bodyPr/>
                  <a:lstStyle/>
                  <a:p>
                    <a:fld id="{911B6418-A66C-4B08-B632-93E1243D7A9E}" type="CATEGORYNAME">
                      <a:rPr lang="en-US"/>
                      <a:pPr/>
                      <a:t>[CATEGORY NAME]</a:t>
                    </a:fld>
                    <a:r>
                      <a:rPr lang="en-US" baseline="0"/>
                      <a:t>, </a:t>
                    </a:r>
                  </a:p>
                  <a:p>
                    <a:fld id="{062798E1-AEFC-45F7-AF32-59B1013F9A19}" type="VALUE">
                      <a:rPr lang="en-US" baseline="0"/>
                      <a:pPr/>
                      <a:t>[VALUE]</a:t>
                    </a:fld>
                    <a:r>
                      <a:rPr lang="en-US" baseline="0"/>
                      <a:t>, </a:t>
                    </a:r>
                    <a:fld id="{71C4E386-BB1C-4487-9EAE-DC9EA8ACF58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layout>
                    <c:manualLayout>
                      <c:w val="0.34491946401436657"/>
                      <c:h val="0.17805588866135816"/>
                    </c:manualLayout>
                  </c15:layout>
                  <c15:dlblFieldTable/>
                  <c15:showDataLabelsRange val="0"/>
                </c:ext>
                <c:ext xmlns:c16="http://schemas.microsoft.com/office/drawing/2014/chart" uri="{C3380CC4-5D6E-409C-BE32-E72D297353CC}">
                  <c16:uniqueId val="{00000007-AFCA-4AAB-A8BA-60DAD18B7F69}"/>
                </c:ext>
              </c:extLst>
            </c:dLbl>
            <c:spPr>
              <a:noFill/>
              <a:ln cap="rnd">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&amp; Map'!$J$12:$J$16</c:f>
              <c:strCache>
                <c:ptCount val="4"/>
                <c:pt idx="0">
                  <c:v>Female</c:v>
                </c:pt>
                <c:pt idx="1">
                  <c:v>Male</c:v>
                </c:pt>
                <c:pt idx="2">
                  <c:v>Other</c:v>
                </c:pt>
                <c:pt idx="3">
                  <c:v>Unknown</c:v>
                </c:pt>
              </c:strCache>
            </c:strRef>
          </c:cat>
          <c:val>
            <c:numRef>
              <c:f>'Product &amp; Map'!$K$12:$K$16</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AFCA-4AAB-A8BA-60DAD18B7F6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[ecommerce-blank(AutoRecovered).xlsx]Duration &amp; Rating!pvtDuration</c:name>
    <c:fmtId val="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How long we take to ship?</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'Duration &amp; Rating'!$B$8</c:f>
              <c:strCache>
                <c:ptCount val="1"/>
                <c:pt idx="0">
                  <c:v>Total</c:v>
                </c:pt>
              </c:strCache>
            </c:strRef>
          </c:tx>
          <c:spPr>
            <a:solidFill>
              <a:schemeClr val="accent2">
                <a:lumMod val="50000"/>
              </a:schemeClr>
            </a:solidFill>
            <a:ln>
              <a:solidFill>
                <a:schemeClr val="bg1">
                  <a:lumMod val="85000"/>
                </a:schemeClr>
              </a:solidFill>
            </a:ln>
            <a:effectLst/>
          </c:spPr>
          <c:invertIfNegative val="0"/>
          <c:cat>
            <c:strRef>
              <c:f>'Duration &amp; Rating'!$A$9:$A$24</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'Duration &amp; Rating'!$B$9:$B$24</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982C-4872-BA2B-15E9A44125C9}"/>
            </c:ext>
          </c:extLst>
        </c:ser>
        <c:dLbls>
          <c:showLegendKey val="0"/>
          <c:showVal val="0"/>
          <c:showCatName val="0"/>
          <c:showSerName val="0"/>
          <c:showPercent val="0"/>
          <c:showBubbleSize val="0"/>
        </c:dLbls>
        <c:gapWidth val="0"/>
        <c:overlap val="-27"/>
        <c:axId val="1936203232"/>
        <c:axId val="1936204672"/>
      </c:barChart>
      <c:catAx>
        <c:axId val="193620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36204672"/>
        <c:crosses val="autoZero"/>
        <c:auto val="1"/>
        <c:lblAlgn val="ctr"/>
        <c:lblOffset val="100"/>
        <c:noMultiLvlLbl val="0"/>
      </c:catAx>
      <c:valAx>
        <c:axId val="193620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3620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[ecommerce-blank(AutoRecovered).xlsx]Duration &amp; Rating!pvtRating</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How satisfied</a:t>
            </a:r>
            <a:r>
              <a:rPr lang="en-IN" b="1" baseline="0"/>
              <a:t> are our customers?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'Duration &amp; Rating'!$B$31:$B$32</c:f>
              <c:strCache>
                <c:ptCount val="1"/>
                <c:pt idx="0">
                  <c:v>1</c:v>
                </c:pt>
              </c:strCache>
            </c:strRef>
          </c:tx>
          <c:spPr>
            <a:solidFill>
              <a:schemeClr val="accent1"/>
            </a:solidFill>
            <a:ln>
              <a:noFill/>
            </a:ln>
            <a:effectLst/>
          </c:spPr>
          <c:invertIfNegative val="0"/>
          <c:cat>
            <c:strRef>
              <c:f>'Duration &amp; Rating'!$A$33:$A$36</c:f>
              <c:strCache>
                <c:ptCount val="3"/>
                <c:pt idx="0">
                  <c:v>Jan</c:v>
                </c:pt>
                <c:pt idx="1">
                  <c:v>Feb</c:v>
                </c:pt>
                <c:pt idx="2">
                  <c:v>Mar</c:v>
                </c:pt>
              </c:strCache>
            </c:strRef>
          </c:cat>
          <c:val>
            <c:numRef>
              <c:f>'Duration &amp; Rating'!$B$33:$B$36</c:f>
              <c:numCache>
                <c:formatCode>General</c:formatCode>
                <c:ptCount val="3"/>
                <c:pt idx="0">
                  <c:v>7</c:v>
                </c:pt>
                <c:pt idx="1">
                  <c:v>8</c:v>
                </c:pt>
                <c:pt idx="2">
                  <c:v>6</c:v>
                </c:pt>
              </c:numCache>
            </c:numRef>
          </c:val>
          <c:extLst>
            <c:ext xmlns:c16="http://schemas.microsoft.com/office/drawing/2014/chart" uri="{C3380CC4-5D6E-409C-BE32-E72D297353CC}">
              <c16:uniqueId val="{00000000-A0B9-4DE4-87D8-58A1B7A788DE}"/>
            </c:ext>
          </c:extLst>
        </c:ser>
        <c:ser>
          <c:idx val="1"/>
          <c:order val="1"/>
          <c:tx>
            <c:strRef>
              <c:f>'Duration &amp; Rating'!$C$31:$C$32</c:f>
              <c:strCache>
                <c:ptCount val="1"/>
                <c:pt idx="0">
                  <c:v>2</c:v>
                </c:pt>
              </c:strCache>
            </c:strRef>
          </c:tx>
          <c:spPr>
            <a:solidFill>
              <a:schemeClr val="accent3"/>
            </a:solidFill>
            <a:ln>
              <a:noFill/>
            </a:ln>
            <a:effectLst/>
          </c:spPr>
          <c:invertIfNegative val="0"/>
          <c:cat>
            <c:strRef>
              <c:f>'Duration &amp; Rating'!$A$33:$A$36</c:f>
              <c:strCache>
                <c:ptCount val="3"/>
                <c:pt idx="0">
                  <c:v>Jan</c:v>
                </c:pt>
                <c:pt idx="1">
                  <c:v>Feb</c:v>
                </c:pt>
                <c:pt idx="2">
                  <c:v>Mar</c:v>
                </c:pt>
              </c:strCache>
            </c:strRef>
          </c:cat>
          <c:val>
            <c:numRef>
              <c:f>'Duration &amp; Rating'!$C$33:$C$36</c:f>
              <c:numCache>
                <c:formatCode>General</c:formatCode>
                <c:ptCount val="3"/>
                <c:pt idx="0">
                  <c:v>37</c:v>
                </c:pt>
                <c:pt idx="1">
                  <c:v>51</c:v>
                </c:pt>
                <c:pt idx="2">
                  <c:v>39</c:v>
                </c:pt>
              </c:numCache>
            </c:numRef>
          </c:val>
          <c:extLst>
            <c:ext xmlns:c16="http://schemas.microsoft.com/office/drawing/2014/chart" uri="{C3380CC4-5D6E-409C-BE32-E72D297353CC}">
              <c16:uniqueId val="{00000001-A0B9-4DE4-87D8-58A1B7A788DE}"/>
            </c:ext>
          </c:extLst>
        </c:ser>
        <c:ser>
          <c:idx val="2"/>
          <c:order val="2"/>
          <c:tx>
            <c:strRef>
              <c:f>'Duration &amp; Rating'!$D$31:$D$32</c:f>
              <c:strCache>
                <c:ptCount val="1"/>
                <c:pt idx="0">
                  <c:v>3</c:v>
                </c:pt>
              </c:strCache>
            </c:strRef>
          </c:tx>
          <c:spPr>
            <a:solidFill>
              <a:schemeClr val="accent5"/>
            </a:solidFill>
            <a:ln>
              <a:noFill/>
            </a:ln>
            <a:effectLst/>
          </c:spPr>
          <c:invertIfNegative val="0"/>
          <c:cat>
            <c:strRef>
              <c:f>'Duration &amp; Rating'!$A$33:$A$36</c:f>
              <c:strCache>
                <c:ptCount val="3"/>
                <c:pt idx="0">
                  <c:v>Jan</c:v>
                </c:pt>
                <c:pt idx="1">
                  <c:v>Feb</c:v>
                </c:pt>
                <c:pt idx="2">
                  <c:v>Mar</c:v>
                </c:pt>
              </c:strCache>
            </c:strRef>
          </c:cat>
          <c:val>
            <c:numRef>
              <c:f>'Duration &amp; Rating'!$D$33:$D$36</c:f>
              <c:numCache>
                <c:formatCode>General</c:formatCode>
                <c:ptCount val="3"/>
                <c:pt idx="0">
                  <c:v>150</c:v>
                </c:pt>
                <c:pt idx="1">
                  <c:v>182</c:v>
                </c:pt>
                <c:pt idx="2">
                  <c:v>163</c:v>
                </c:pt>
              </c:numCache>
            </c:numRef>
          </c:val>
          <c:extLst>
            <c:ext xmlns:c16="http://schemas.microsoft.com/office/drawing/2014/chart" uri="{C3380CC4-5D6E-409C-BE32-E72D297353CC}">
              <c16:uniqueId val="{00000002-A0B9-4DE4-87D8-58A1B7A788DE}"/>
            </c:ext>
          </c:extLst>
        </c:ser>
        <c:ser>
          <c:idx val="3"/>
          <c:order val="3"/>
          <c:tx>
            <c:strRef>
              <c:f>'Duration &amp; Rating'!$E$31:$E$32</c:f>
              <c:strCache>
                <c:ptCount val="1"/>
                <c:pt idx="0">
                  <c:v>4</c:v>
                </c:pt>
              </c:strCache>
            </c:strRef>
          </c:tx>
          <c:spPr>
            <a:solidFill>
              <a:schemeClr val="accent1">
                <a:lumMod val="60000"/>
              </a:schemeClr>
            </a:solidFill>
            <a:ln>
              <a:noFill/>
            </a:ln>
            <a:effectLst/>
          </c:spPr>
          <c:invertIfNegative val="0"/>
          <c:cat>
            <c:strRef>
              <c:f>'Duration &amp; Rating'!$A$33:$A$36</c:f>
              <c:strCache>
                <c:ptCount val="3"/>
                <c:pt idx="0">
                  <c:v>Jan</c:v>
                </c:pt>
                <c:pt idx="1">
                  <c:v>Feb</c:v>
                </c:pt>
                <c:pt idx="2">
                  <c:v>Mar</c:v>
                </c:pt>
              </c:strCache>
            </c:strRef>
          </c:cat>
          <c:val>
            <c:numRef>
              <c:f>'Duration &amp; Rating'!$E$33:$E$36</c:f>
              <c:numCache>
                <c:formatCode>General</c:formatCode>
                <c:ptCount val="3"/>
                <c:pt idx="0">
                  <c:v>312</c:v>
                </c:pt>
                <c:pt idx="1">
                  <c:v>373</c:v>
                </c:pt>
                <c:pt idx="2">
                  <c:v>351</c:v>
                </c:pt>
              </c:numCache>
            </c:numRef>
          </c:val>
          <c:extLst>
            <c:ext xmlns:c16="http://schemas.microsoft.com/office/drawing/2014/chart" uri="{C3380CC4-5D6E-409C-BE32-E72D297353CC}">
              <c16:uniqueId val="{00000003-A0B9-4DE4-87D8-58A1B7A788DE}"/>
            </c:ext>
          </c:extLst>
        </c:ser>
        <c:ser>
          <c:idx val="4"/>
          <c:order val="4"/>
          <c:tx>
            <c:strRef>
              <c:f>'Duration &amp; Rating'!$F$31:$F$32</c:f>
              <c:strCache>
                <c:ptCount val="1"/>
                <c:pt idx="0">
                  <c:v>5</c:v>
                </c:pt>
              </c:strCache>
            </c:strRef>
          </c:tx>
          <c:spPr>
            <a:solidFill>
              <a:schemeClr val="accent3">
                <a:lumMod val="60000"/>
              </a:schemeClr>
            </a:solidFill>
            <a:ln>
              <a:noFill/>
            </a:ln>
            <a:effectLst/>
          </c:spPr>
          <c:invertIfNegative val="0"/>
          <c:cat>
            <c:strRef>
              <c:f>'Duration &amp; Rating'!$A$33:$A$36</c:f>
              <c:strCache>
                <c:ptCount val="3"/>
                <c:pt idx="0">
                  <c:v>Jan</c:v>
                </c:pt>
                <c:pt idx="1">
                  <c:v>Feb</c:v>
                </c:pt>
                <c:pt idx="2">
                  <c:v>Mar</c:v>
                </c:pt>
              </c:strCache>
            </c:strRef>
          </c:cat>
          <c:val>
            <c:numRef>
              <c:f>'Duration &amp; Rating'!$F$33:$F$36</c:f>
              <c:numCache>
                <c:formatCode>General</c:formatCode>
                <c:ptCount val="3"/>
                <c:pt idx="0">
                  <c:v>224</c:v>
                </c:pt>
                <c:pt idx="1">
                  <c:v>247</c:v>
                </c:pt>
                <c:pt idx="2">
                  <c:v>250</c:v>
                </c:pt>
              </c:numCache>
            </c:numRef>
          </c:val>
          <c:extLst>
            <c:ext xmlns:c16="http://schemas.microsoft.com/office/drawing/2014/chart" uri="{C3380CC4-5D6E-409C-BE32-E72D297353CC}">
              <c16:uniqueId val="{00000003-56A8-43E4-AE3D-4981C8567112}"/>
            </c:ext>
          </c:extLst>
        </c:ser>
        <c:dLbls>
          <c:showLegendKey val="0"/>
          <c:showVal val="0"/>
          <c:showCatName val="0"/>
          <c:showSerName val="0"/>
          <c:showPercent val="0"/>
          <c:showBubbleSize val="0"/>
        </c:dLbls>
        <c:gapWidth val="150"/>
        <c:overlap val="-27"/>
        <c:axId val="1121372896"/>
        <c:axId val="1121373856"/>
      </c:barChart>
      <c:catAx>
        <c:axId val="112137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73856"/>
        <c:crosses val="autoZero"/>
        <c:auto val="1"/>
        <c:lblAlgn val="ctr"/>
        <c:lblOffset val="100"/>
        <c:noMultiLvlLbl val="0"/>
      </c:catAx>
      <c:valAx>
        <c:axId val="112137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7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7423DD19-166A-48BE-8E84-6D226221646E}">
          <cx:tx>
            <cx:txData>
              <cx:f>_xlchart.v5.6</cx:f>
              <cx:v>Qty</cx:v>
            </cx:txData>
          </cx:tx>
          <cx:spPr>
            <a:ln>
              <a:solidFill>
                <a:schemeClr val="tx1"/>
              </a:solidFill>
            </a:ln>
          </cx:spPr>
          <cx:dataId val="0"/>
          <cx:layoutPr>
            <cx:geography cultureLanguage="en-US" cultureRegion="IN" attribution="Powered by Bing">
              <cx:geoCache provider="{E9337A44-BEBE-4D9F-B70C-5C5E7DAFC167}">
                <cx:binary>3H1rc9u4kvZfSeXzSw8BkASwtXOqBqQk3+3YTjKZLyzFVkjwTgK8/vpt2k7GouREfiuq2pVyZuY4
coNNPEDf0fjv++6/7pPVsnrXpUmm/uu++/N9qHXxX3/8oe7DVbpUR6m8r3KVf9NH93n6R/7tm7xf
/fFQLVuZBX9gE1l/3IfLSq+69//5bxgtWOXn+f1Syzz7UK+q/mal6kSrn3y39at3y4dUZp5UupL3
Gv353l0m8lteZXL5fv07/Of7v5JlunpYvnPzOtP9+3erTEvd3/XF6s/3a+Pg9+/+mD5ug7V3CXCv
6wcgJvSImRbDzCH88UPfv0vyLHj+2kAYH2GKLerAyE9PvQRW3sTRIz/Lh4dqpRS82eN/NwdYew2Y
jb9+PQv342yMAASAxZ/vP2ZSrx7e3eqlXqn376TKH6er6t18fNWPt49z88c6hP/578lfwGxN/uYF
ytOp/dVX60D+AuS7OllWqz1g7BwRYiJsmtx8/KAJxogfYc4YQzZZB3l3jrZjPKHfAeIJxYEhLGqt
9wEwP7IRJpZpW0+bmE0AxujIti0HIQzQv9zFOzO0Hd918h3gXSc4MHRvl9m781qqd1dfpSryPWxk
+wgz7CBuse0bGZtHjmOagDNfx/n/g7XtiL820A7Yv0Z6YKvgr6SQ2T42OTtyOLEd9NomBylO4WPb
1FoHf3eOtmM+od8B6gnFgSF8uWqWe7HFQA07mDJi2k/bG7Txui2GjkzY/LAAnHWEd+doO8IT+h0Q
nlAcGMIXy4dVtQ9r2zniDiY2ps8ITy0xEOCmQyxmoYkA352j7QhP6HdAeEJxYAj/lS4f8moPKpod
EXCWTMxACK9vXhPEM8acPFvhE0tsd4a2Azyh3wHgCcWBAQxeYCZVsqzVHkCmR45lUlDG5ElQg2+8
jjUIahNbhFCwxF/a22/jajvSW8bYAe0tVAeGOMRPlg2I7X0Azo4QCG6EKX0FcDC8mcnBB5to5jcx
tR3vzSF2gHuT6MDQPltV2R52tn1E6KMjDW7U+JkqaDCyTcQ4IhgCZS939q78bMd4jXoHeNd+/8CQ
dXMI6o3Gl9L7MMHYI4AcZPMrsRJ8hMACsymayO638rUd6a2j7ID4VrqDQz6p1T4wB8dqFM7gOz/t
6g19jUFfM+KAb7W+q918V45eQ3uNfiec1ygODOG7VbhM94CwZR4hCqEvG6OnXQ3u07pFBmkMYiGI
gUIY/Emuv5Teu/O1HecJ/Q44TygODGdvlby7zCFn9vtVtIWOqG2BKwVq+PGzkbGyYLdbBDJWk5TV
m5jajvPmEDtAvUl0YGhfJzXkUX8/1IQfceJQG5PnXb0BtXkEsXBuQ1x0XW7vztF2nCf0O4A8oTgw
hGfJOy+vIGSyB5DZEcXcAZCfJfeG6IbACecITLInm3wSOHkTa9vR3hxiB8A3iQ4M8/NcvfsrC1bJ
ah9b2zoCZY0Js+wn2KcpS8SOxgCKRdGTyz1B/Y3Mbcd92yA7IL+N7MCwXySrbB/uNSSqsWkjjiFM
MrXPEGcIYmoTpb0zJ9shXiffAdx1ggODdQ4lONk+ZLhzRAlybBu9Yn6PuUlmwx80UdS7c7Qd3wn9
DgBPKA4M4eM6/ZonD/r362lwsShzkGVt7l3rCDmImFBF9iTL122xt7C0HeSNEXaAeYPmwIA+SYtV
JZfJ7weaYLC3MLMtgp6iJdM0NLKPbNjrNnjc23zpt3C2He+NEXbAe4PmwPC+latqLylpUMmOSWDv
WtvRhpQ0fGkyhz0FzyaG2O58bcd6Qr8D0hOKA8P5AqLfq2rV72FfO0cOdSgl5nMSa7qvoUrQsR3L
IdNa37fwtB3ljRF2wHmD5tCQXlayyPcS76ZHUEICRSbsKdi5LYvFHYsyTM1tGvviDZy9gvd0hF3w
ntIcGN4nWb8f05uZGLwq+lz7Ow2fgCMNRrnjQH33ul22Kz/bEV6j3gHdtd8/MGTP4KDIPmIkULcP
FQfY+h4j2YCWQx2KzaGqe5qM3pWh7diuv88O4K4THBi658t4D2kMiG1DkgKCW1AQ9vjZkpPkyEYO
o5OSkl352Y7tGvUO0K79/oEhe5tn+T6ykYQdWYQ7nIJ+ffxsWFrgYiEwtUBLr8vk3Tnaju6Efgd8
JxQHhvD5UqnVHgKZEAyxoBCf8WcDy9xAGArC4GuLORPRvDtH2xGe0O+A8ITiwBCGUyVQJiSW1dfl
Xtxj68jC4PxS/npk0+EMSgugeuTxM9nQb2VvO+rb33IH8LcTHtgaGP2VPWxyOBvLqWVDrf5zanKa
o4KzsTZB4+KYmNY7M7Qd7XXyHVBeJzgwdMdzY2IFZ3v35D3ZeDw8+ZyGnJrYEBOxTGxC3Htihb2N
q+04bxljB7C3UB0Y4her7CG/l3vJVPEjNDrKlD4Ht6cFvphA9RB1COETxf0mprbjvTnEDnBvEh0Y
2rCex0JfOPu+h8JAkOFjEQE4Wc+5qQ0Zjo7Gk+9wqG6SmXwjW9sR3zbIDphvIzsw1K+T5f1qPwew
GAdrDYzvV3wvOJtDx9wWfrLXQOK/rATdna/tiE/odwB7QnFgOF+sqntoyuHuoXEJMR3uQF7qCceN
jQ0uGkMc6oeeEluTvNXufG3HeUK/A84TikPDOQeV/fthhmpfi5tQ4Yme3auNwiHzyLYwHIlG4IK/
3MgXuzL0Cr5r5LvAu0ZwYOjehsu9nMaBOAq0K3AII68drMNHhCGTQduLdXh352g7vhP6HQCeUBwY
wpfLYh/mF1RxQhjUghTFK9oYzmVAmMyEVOU6vrvysx3dNeodsF37/QNDFvLo+/CcAVloNfJD/Y7u
0lpF59hUCjOwxcyJhbUrP9uRXaPeAdm13z8wZO9qOJ6W7qXZDIS+GOaWBcr38bPhJpsglzFCDE/U
7lt42o7wxgg7oLxBc2BIPzuEVT38fhOLQFMSCkfjzO8m1oYlDacjYSdD+7ipDn7y3HfkajvaW95s
B7y3UB0Y4lfVEs5e7AFtAtWd4B0z55VecQg6QtrQpMQZq4ZeGtS7c7Qd6Qn9DihPKA4M4RsJ3SqU
fNgPyJyZNiHPXQw2C8AgLAa9LKBwZKKc38TUdpw3h9gB6k2iA0P7dnlfQePUbC9ZDAZeFDSHg7aA
T7GQqS02ZjH4+AdaW4yfyc5+G2/bUd8yxg6wb6E6ONzH7FWVLauH/SQ04PAFtC5ADFq8Pn6mlQgg
z8GQMyEmui7OQYW+kbHXgN86zk7gb6U8wAVwmi/Lel8pakhQWxiKFLaiDzsfc6gg5Hx79T4sgjcw
9/oKmA6yI/xTsgPE3pOrYB/+92MJGbXhpM7U8aZwHAuCZux7Tntz3+/M0+uArw+xI9zrRIcGdp4s
9xZpAYt9PLnx+NnwxcE/szgcz9moUdiZo1dwXqffBeR1ikNDGKTlHPyye6nu8++76vc04afgXlNI
RP/ISa7F0qDQCAQ8shnZosR/cLSLs/gK0C9f7Mcwu+C9lfDAYL+D6jK4beHHvDw5xb8B9/FILVT4
gwJ/Tm5t2O0Y+pvAeXnoXPV9uT3dvvAGlrYjPh1gB6ynJAeG8u3Ym38fBQlQcUQwhuaRzxWkU309
HruDEjSw0abhtZ052o7x5I12gHhCcWgIg7C6gLtB9mGNPZ64o1Bn9FxHuGUnQzYESs+syU4e3bCd
mXoF540hdoF6g+jQ0JYqln1e70FsQwcyAsoYf78zB5TyVF070BzYhlbe62L79g08vYL1dIRdoJ7S
/B9A+ucsrr30eKvOX9/neYtWfvuNSFBO4jhQ8L/d3IbEpoPgaA+CJu2Pn+/PflLN0Hn3xzVOr1oK
TzdJbdyJ9JJ27R2fXvHnk7Kf+45evwvpx7VS3lIvZ48XUr24Dunn3z4ubrhIa0L6nG/YAuKP6oCT
hz/fQy0BgaJ8UJc/7roaB1rLVoxy9Ydl/B2hdeIV1LT8+f7piitoPQQNECCKiujYer9dPX9FILpG
GeXgUDvQERZ0dwZtDcPHi7M4lDZAYO1fKpXXz19BMBZKGkxEoG4J8mo/Lg67zpM+yLMfk/P887us
Tq9zmWn153s4EVY8/dbIrQ2jM2pZcDAfjERiWia8dXG/vBlPeMJM/D87gc6lkV8NV4P+XDJf1IMW
LyZmyxPGEf59wtjWAaLCDIqeLQgVwSNGDl48YSh8p+gKgq5UZ4jKnNuJFMp+aJrjnz9n/U02nwMF
ty+fkxuoKCtpoyu7aFxUnbf04ecPwOMIP3sT0MIvnxCgMsN1CG+COyoa6yPl33Kjd7lxxetmRrDp
quZLUR/X8lrnvkByFYXzILjG+Qed3QZtIXR55tjBjPmZCKwPdXTbpqHX8fQXU4Fg/f6UU1hYLzkl
0vB1W41zQWb+kIqy+Fw30s2RddX6Uvh+LGT/jRpYlPB/mSPdn0/V2Ih+gwFI3z/21LPgAIS5zkDG
AqQbk/ZXfRNJ5CJeJeexhYl2+8IqC5dHZlafRIydVp0Sdt3eoKR1RJvlgduYxuBWdhkKXNRmM9eB
edpyXVeLJP0bp+S09U1FBDYi9LEjabQgMY+Y8JkWWRTNKqc6Kepe4KacI917je4X4XDVOHKWBpbI
S0PUzrCoOn6d4mt/iOZ+/bfyExGoOxWwC6ITUcWO12TAQJufENt26ZCIPiq82L7Li7L0HBKIoaxg
EpFbo/qcmumsLY778m8VpaI3iCjb7Axp60MUXURdumgynH9M7UQUZCCznN9py/GsyBZR0wXCloHl
WbJknslSa5bHyRdtFCJNh0pw21deHFjnP0eIjAj8u5g3Nv5Yn/5yibSSq0h3argyF+TYPxnO9Wey
YCfVlRLoXB+XbjVjHnf7OXFPq9N0nnvdF+MknuuFuXAu5Dy6+DlD4+b5l5/N7Qu2zUt+rCSpaTou
2Tw+yWORtV6lRDkvzV+Io20r86U4mgg8JtMhCUN4jpGJ5K57KANX1q6FPcf/xSZA61P89EovNwHY
5i9ficP7V4RLfBUSN7qOO6/u3CoQrZpF3A2u2l+92jYJCM4ggX47HAJ2fAJp6qQdpQnBV22kRDZ8
bYzrn2O0TQC+fMBk7sxM0qwJML5SjVfbsWgNV3XxLwD61UMmUpZ33Bl6Bg/hzdlQnmrnDjv//Pw9
tqmkl+8xEY896OqqSm18BTVobpe0wnRueHTJw+7pXZ6tluun9fukbu/zoq9kED5f1fnjx//c5Sn8
7/HWx3//crzp89+fLr5fETr9rfFBP34NnvP84NEcWfthwz56xQJ6ukz0lS/fYB6NxR0vpnzDPHq+
UHRqGD2R/TCMIG08FtgzaBbDoKMyLIQfhhHU5VLo3mkS0JoEjZr4hWEE4WgoL7DGoiIIbbx/969h
BOdsCHQ0gOYzkI2GBs3f33QNKTAMn39+aRihscsF7MjRgPpuGnHoJAlu9Wi6QCOFyfZlXVDymoX1
VSR1ccoSbl1UWXfGsqR07br65KSpV0Y6Ps5ymgyrMFel8aHue9GXg3QZ6pIPPCwyoeP+gw6s01yl
+bxMlBRo6BtBY2QsZNJYwirATIib8KQttekGhW8J1aogdHlTZvOUFkl92wfFFx72uTCgo7GgupOR
W2BlnTadMZzaRdaFvtuzXp7WSez12DeOtVF9C3g2uNIw/UWP8lqEKOYnSR00nwq4sfMMSye+YCQr
FkjeFjUJixlLe3NeICa9pjJMjzY883LQWV6SSCywwwNRIX4W00rPygC5tsZ6bnfFJbPDRjQk5/Mm
GToBBkg3V2HWHletukRKcVdn5ZeqDc571M5Cs/ewwhemFZy1gw6FjopaSL8vBRgFblurepYBwiLw
DT2DhwXf/DZ3/umHqPHn5Wgc1KOZwEKFjnlV34QxuWWPRkXhhIb+IFFWHttgaWRl6ByXdq+yW0eb
vBJh7dNGEOpbC4LaJhK2b3+L/bo9Gf39RZ3FsTek2XUfqUvHKk6zJLwsTXzGtDHPVXtqpI6XD8Fc
lZkwo8G1ZfHQZvhGav7lcc/8bumxWOWjb6j+lwqPl0LAhvjVz+TGSw/1ybt93IqPVN/FBoKShLGx
L+x9EM+g5l6IDThOP95uB9cnMfCwx2DYs9iwIIkFPhjcojO61dDcHUT+d7ExHrOGASFHwuCgANy+
8jaxMZUaHC4BgL4qDuTTCGTOR/X2wt3RAwELsa67y6wlfNa0fliInEQ0dmPaNh8cw+5Po67J4plp
xvqLzq3mY2yprhSKZ+XnF7O3TYhtyDCQrXA3BVzcaI33MI+B/pfcWFlfxDysm0tcZugyiIcMXDya
O6HbNTrnommt+gttCkOKKmW6dMuoigPhD4paLlRfZw9ca/MKxghrDycJ+jjYBkOL3rH9FeoN1M1/
zjFeN2LALgWOoZEc9L7gNoWmnxPPwZI0BGx7fUk6Owg8pxuSjw3kJ8lc0z63RdN3KPIk9ZkYqNNL
0ccmWaRN1SOvanL9EHZKIZB5he0puGW7EToNTRC3lR0HsyCPwuu45qep4qHy4NgI/6TC8ixOWrub
SWWAaVuFTbr4+VttwgBnAk3oewnXBkD2/PGlXywK2htBaxSJusy0zz/lAUNYWDGGpVFkdXfddhW/
LXyU/P3zx45r7aUGg9NpEFWgZPS7x3+NbL14rG12gVWoILvM2IAuURzWl5mqXMn88NPPn7RuVdvm
+CQOJ9kptCSBU3Fsss6KzOrBHwrzS1aY1rJs8ypZ+Jr1WMRFODPLOhlcYvYsdyNit+mvFs26pT0+
HhYKtCmz4IYs6BU7fTzktmUYZKm8pGVsL9OotpdxMvJgD6maOVWei94E6BdtUrbg9MY5XemEq5OW
99Z555DKdEkb5bEb0Sz9SKoCEy9kfb8qjKbwQNOk1LV5blXHNnGG+hcm79imeAIUWC0gNqDLB1yG
Dr3W1oEyndrObNs3LlDtp0tZaRUIZMQ6swTp+yw4bUMZfw0YL867oQznTm510sWood80HYbc7cOA
ulYeNStZEfrQ2EVIT38OsWVvgEws8C6gFHDslw+7c+KiORWTZhVqchGBC+9z5mkeDotOd4TPdVPX
btWV5ocm7W2wNMKQuhXKFgpXxSKxCuzGSZneFImddoImbfC5jdL8pFdaiwIU9UdHxczzy8x36zyK
pJCaRK3wI5VdtoWhrkoDPOcgQDwSxuBnqYubMD22HZ3c4Ci4DvqMdAKcyPJS++WdxqlBPKfBMJGy
xyAbrHoYhNmy6DwJbfbFN2vrNHQYOh+CruFua4ZWChf29PLEYFWfirZng4da2/CGqLsvVKlvweSg
oWhTTee+KusTy8f4rgxRGy98aiAphjD2v0KcrWqEzErjnzqlqVcUCp/EeVacoJInD7IpHNj3JI1v
JffHSFJpBaeVX9VuD/OwQBBHuyrbtJtZbQUhDNShZpbAhVIQGWkDVroNDv1Zqkjl1QW/Cn0jMD2E
cn0Mqga3bmZGjmCaJn93qRme4YoXtzbR9qLmkYHnykmHJXPyaqbMLhrmTcyCudF15hKrpP2mgqKw
3QFrsxZZgJtg3ukoh83RtrM+aGo2r3I/9BJN0uMMflWAOK9ymOi0oSJSUWS41G+poLndDcLSie8S
bWTponLiWWDVvfmhJcjypKrMRESwkvSc6JarRUdod+7Ew5D4H2qwhFMIpMikz6qH0A8xHr6o1uho
GgpegSjP73GfRppUcCd4XRfmpY51GnenXJbDouG19k/SSspCRDjJb01qkJOoJ6R2a8DABxPd5B3A
lTLmZb4P+lAncVvOnLgNTLdKNPKvwtJ0aH4c97QNvb5LuD53lCawolo/R6p1a9CFc8cII/+qga3j
BG7JCgYLjsQqnWeJrLhISlBe/qxrpOMaPmQFbNH7ZmbB/WR+mrohr1t/3iY0SWfKB6tgbmdBCnbt
YIPEzHBs1W4aVkYiGtUH6lpJI01neSDZN6NuqDQ9M8d6IS1Ws0vb8AP/NCNUUztys06VQ3+sII1U
hbMiCGk681UzlHNeqUzO+8RJ+2NTqbRwbdwn0qWd3SeLSpbScAFW/Nko0gF5UAcepx78YxpXSWQa
CqY8yz5HacrTE1JxncziUDs3Q60JmUdGjtFZ2IaKZoKGONQLv2qK7BaUMTmNggHH87oADma5ToJh
Bn7SwF0W9UV7kbIelrYBW6XyfITq0wqCb4kX+CSoPQg9AJySKrBPsiEiwyqJoU2ax4CB1CN9GpYn
yJTWcSBp7Lg4jkviyVz63lD7sS2Mtir4deS3keUSWUaDSItoMM5MP7HmqPADcKtCTosZ6sMhPwkl
aoNZzK2wFePvCcQlz2D5BKR0u1YagwAnzPingr6cvSEk7CN8iYZMDlKwxjLIXZ+0uL50Ct7nXsZL
fWHXGaikQNEYCHhKYLZ8GaLsy4CSLDwt+zQBn6m1Bwmhw0DfWRG2l3bnp75gCBbvvM46SmbKGSQw
X6Mo9RJSxsplrT+TSJZfkrYFyyIKouZW2U77tahCctzQNvBnLLZNLDLmwzh2kkfdPKsadDlAaN76
oLSN7pA24Ddax1DM1ain3azBaSSPqw7j9iSjgcJX0qD8U2aW4+KMolItaKJCdd31lmauWbaATdhm
wFiuQOiegQbjnwgzYXWnICUrD47Ud/mJVtzH11FVx/ENZhm3TjorausL3enR+Az77tqODaeb5W0K
j87zYWhEh1M9LMyYji8/st6CfAK+ihRdWnYGb1GXNkxVGOfx4PK4ga1TJEEsP2QVhS1f1WAVBPAd
yFSss/CqRFZfZYIUoQlwt1VXX6RGWCghzbrs5h00OiazvinxKDRgM7nwRiBAOo5GO1ln6Scfbp05
ZY2UTLDQjmFd9IGzbDMCbHRV1N8Q3ZnqLAAzNzrLiyyObhloi4XKTHRZ8qD8At2BnFKEVijxac4C
Xp/5YR40Xl/RsgUDtyeLAsO0uiYt+/s4ie3rrlZmflyafRN/bp00UMepb6Tf+oGPMkSWSeiBH8DI
TOI+VPPCSflnCACk87QtglJQC8RcX7Xhjcy1OuNpHNmejSscgNiDm7FEE2L+qYqMJpglOINtMhg+
4SdWlqNylYJA7k8hZAJ7ox0l9iyyDZjRrhkgA6LttjxDVY0d1+eJbkDTksYE07uM/ql4w++MHsz0
04HrCj1olfVKpBCXaU5ki2GoLkXh4Fpt4AQnBcDSukbMnfmQN42+6Hqa3EaNKgWj6thKu8Y+HloH
wIlNpIZFkcR5fpE5nXVuaNPKZ2GZpc1Z0LdF6DJbpeEdWCLqweQZiBEQnaoRcQhxFsHbhpWgBfry
NglKJP9G+UBYIwawwPqPhSYGh8GUX81CasTBqeEX7dcwMI3GTahy4hPJTfShU4YPWYW6VHImhxoW
qcQ6ItddnAz2ZeoUSQJpmMZ0LiwUWp3bg3WjZm1YAGotyyTEVQaaguxQKpmhjnSV1ySYVYuBlbD6
Y6sLqNf7valcv1BO+bm1e3QXhRWsNdB0/BOs9VRdZzxDIGBxwaM5S0OnFV39BbO6ZUjEcUM/2jgr
W6+1A21dWH7CmpvSV7wC5Q4relZIAmiC49B355LoOD+nVRGSa9yZiXPidzmH9+o6I7iIK6NovVT5
IDPAGqv1RZL4wH/FY4iNhCwOvbYzzZO+tGDf945DpbD8kD6lDX53jOTVCOvLAOt//pdHUvDLUMpT
ltoET+j1LPVfSSGz1XaqH+EU6NAPiTe43RBTNkZbX4RT4Lp4CjEW234KmoBX8j0Ky+DqNPjAITAb
ykodCqx9D6fAFeUY2spC7Tj0tYMY7dvCKRtOBxTCYHCcCVjiwCcam8e/9GGDirZRRFhyZaDySyA1
SMU6+Yp6+yRBaSYiZ3BVVc+onQqzofOBBOe8Ly9bloImadPyJJVlKurAcCta43lgm3MzJ7etbPCM
0bx2m6A/N7XvOUYO5gXSnyTDhZug5Dy0y8RtjOo4idUydSBRVyPrwcdSuYWRBm5gd2cdax7iGpUu
iyGkCfHsmdM3tkB9NszM2kg8yDN0HmxA7dKaQ6KpNx1X51k/z/L+Gve27eEgOas7mwjYgn8TcKc8
kIwPuemcgqddeGWXFSJoVCzSgAg7BO8zo/x64Ohz4w8BxEtlDO6W0YqEavjRiaQ7BAWG9GHgC+qf
kEDPewoJ6RJkE6Q0u09DGFxomp0VfnEWwjuJvJeVSDG+aWXsNUGQzuIMX/gI3/l9oiGiW6cC6gcg
lqIacNdigwnLIscp6aXrs+IzsyvDdcw+qAPXbkoZ3GocFf+AQfCpH6z2TDN1VRCtFglqweovq3+6
AKR+Fi/SAtK+Vm3nwmohul0TH4vQZxdhgD+REtK8tWyvDAgZzeK4HjxsD8Fs4KBwg4obCyOvb4gR
PtiJny/A+HARmBRnubPU3RLsrrlVOEvVk3xRV+YCbkYNZlXRpvknjsLsNjGTIl7JYHhou/BmICYE
musipyKuQsaWFYoufVjfJ6bOzONO4/wKVz6/slJfnfbcdy0OMeqWOse66iNhhqZ0Q4v3lyQaQNbJ
PG0X4LZ9biGVSWUaXpAuX4Eox8dmHvBSVA4Lh6dAwu+Whv8H5Rxs+9flHDgcepuYA6LvYg7KYKEE
Zeylao7lsg6kBF8kmyCABCkj+EMgOAdhj+9RY7j3Fa4Tg4AHHFiGPpwOSMDvYg76T0AIBGLJtk2g
2x+33hI1hsKdSQTIHiN1DsSgoWIb+iKM/L0Uc03RKfD8QgJVMpbpDl1z0vZW6aGIEFgp5TwnuBaV
7j9TDMkYFVj3FWHnmvexZ4/GXdRBPkNX4Zluc1NkZnZhRGYl2FDUXqeay65ylGfxKnfzvP7a8+xL
KIMZeBw3sRUtsl6fYoJvyqKIYHv2teCQXIJMDz7PUvCdAoN+VDHP3YSnGswu/+OQR59t8CkFGOed
63TplR2QK9Q6M17mpzQpT2J7ICdD41duHWPmNmG3gPjzDLPiGyS8buo2sE+zwF9AWvUrk73gavjU
QYpMxDjFgoD/JhwrzTxS+K7ZgaCmRfipRfU/cddYbhiHx7jOM1EoCqIrhECAbnTmyoJcxml5msQW
EW1VfSubEInOyLU7JOxKplXhtkF5FdlNcdqlGmwl6QceTaHmIA6rwOVm4F8qJzc98M0HR5TW8I3h
Jr5sLHo/SJjcwk/DDxgsMRGqahVqk19EeXJicyin8XEB1SaZYldKdumM0hZQq0NLVIEO3DjtWvDO
oLCkiZCzkGPth1OBIWt1NPhgBgQthiIKRBnIRKQZFJlA3CUXMiXBzOyT6JiQLpkZUuJFFI4R1QHi
g04H9ruZ5+AG+MhDXQ+SzlJybpmFP7daksyqVOOFzkk6y0h0Domxs0FHV3GGTnQfDJ5M2Tcog3FE
RKH4xFCSeH3dRzPk034R10EyM6OQwUSgHjJxJV/oyAE901X1gmOwotOgghAp+J83IA3Zoi7scAYN
8qJj0/R9r2kSIhQhxocEcUukA7xp2TmOkI7pzFlgaDfqWyb6PChmBni1YKbG8tRWql0EOLzrsbqu
azObhQbrRa4LuKBMgY8WOhBJKbl1WnDQEgEaMwHDOEUSZ/+0yo4+ZuDCCxXy7LivIe2BuyAXiZ9B
URQLwU0tBh9MWQpzXBn1MWtBZoet1UKgoZYPcSopZPeoP2uC1Dg2dTSv7WTm+xmH+B/E71KeVQKC
PqlgVlQLI2qZVxVp4jpN5HwYUPch6uobp03jmcIRkm6Ck0sIAupj8BO/aajO0KgJ57pAtUh4Ul1I
sPld0jleUpXOidO3/rlj0GYBtWLWDTbqT5Ln2vBMXXf+IsQdQkLWxX0LXNHBiMFrjhKhWFguDNnf
IaNF8y4MHNds+GmWYmfWtj0SvKkh/6t6UUDYGGJewUxmmXFqWOaxJORjAzVBLmSe79IyOqVRdt1S
5RoGvVD2Pz7FZ3XuNH/3cbJqHX3+P+x92ZKetrr2rfw3wC4JhBCHP8M39zy4u0+ott1mECCQQAxX
vx+cyc5K1q6cp1KpSsru/gbQOzwTM3OcqEWbTMQ0TpcRgM8hDIcqKjUmklySi4tXK7ribC371gMf
ielaX5GJ0MiGwfMqAG+X1SowVTRfTQDMG5DYUVXLHQjBy+iXwGML6yVtI9RelhQYgC38ZF7UHNky
CEBZNcfWYFoLjOfvlgWXkPbNzejkD/WcvRE1vnYM5UGQziaB1Odyou+z5Dw10gOcalS+oyMF+w3B
lmQ6tZVxo2ClTVQbe2XE9GmEDjsJHHYbzoGIVBO0R+H7+JsDqaJR1jbuBnUeK3LAKtXGlmW7iqj+
pgyHJaoAl0XOHCbDjEcnZlxGvi0ToJn8FYRz46eqna9ad/iiWHBsR/8FG5R/LBsaVXr9DNwX6Kaa
D/jQ9a5wgcg2dE1qHlwXFapMqJzI1VMsQ0dFVtGD0/PDMvVJ5ZbAyMvpDrrQS+0aL87K+vMgwkPQ
etc07/YO6/c5UE1cU+hfKP7ffy9EWcamHL+ZMrgFTTKkVi3HoWFFOgZ17DB5ByTKQS8Y49pbzsVQ
3zWhk9CyeKxBrRW8PQRj3SZjUz7W5RADBtBRm5kgapb1kAFpL+tYEDOD6XRjrCIf2dguEfqYs+yN
cI24LRtZxzlv70mpdfp9JPh3NtpWtr+fjUCpvyMJ5N38xRqIH/x9PsKutwnOoZ1B8CXfqPPf5yM8
BjvE8/h+URv72wb2xxrob5kQSMoE9PXzGoicl22UgbwZpNam1PlH85H3Z+5pMyduqTE8JOA/kLv5
83zU5gKNxAp1Q0idHzrMDUWOLUR703kM7ALFiGsu8+iqvUdWbx/O421bMbTItvmsmasS45hDvRR+
Gnp6ifOJe1HFij5Gc16jypncpBiEEwU9XxNnmpvbPg8/Ff6qY6s9L57JegZ2etE+OwgVouU6xb5f
uk+ZyFW89uJq1QsWCCXtYayHU95UPUAb/7RCcQixb3DFXfaU+1C5DKW4C6dAJq0u7wai32EYaAFR
5c+28btoApUJ8D6wsbTrFW+DT3MGjJd63ktYq098tudQUsib60fHb64GMXUx4LynVmcoNhS0TDad
g5Xdt221o7nz6pZznPf5biB9gF25u3SBenEFv/aKpooKf97b2W8j3BTvQy2gHJzrInKCIS35WkSQ
MdWJp2cO3qJfUiHaMbXWLmDmmhs9zcCUc++gCreM5mm8nmo7Rvk60b0vh13F+/tZ2ir2JW1jx11v
vYx/cYfuUY7LDphUE3l5ezszvluK5lgC4o2ywNzyMXgq+ixPO7a88BJrazn5XYIpXsZ1W6qdVy4m
ad0AI+96p+c22NGiPs20/ijWBhDh4D7xQlNAmm4WcxXeVDZwr+ssOMwif+ivWXHkI5a2SZz5UlUx
HlG4KwOLLbQHfDesVTp4gwWcJ14KjmlnhPQ7qlW5B+bQRrJRX2TAVVIN2Pzcnu5qAXCOYKAelkMJ
zTOW7+qz1t4HHj//gYk8P+Q9u96Azdn2Ocho26TVUrNnz5fgcKB3xKYOgXbbnxqfH2ufgi0odlrk
ckdBJKXLPLuxm/NlL77vqK0/Dulknbuym76Gq5x07BNowoju92vPDCRi/Yk5vRv3rDuEXBWRcrMK
BEAgEjw55uA6ebtXen4HxfFYEpVY06Rk05/h1sV9FH5SnvXioh/sA0a/Pi3DfE5lAGX1AhgPrXyk
6VBjX/D8+j60kGq4mReBiD+2Ib9k1tCokbpK6rzCuQjqMRVVR3der1xgCZzsnNqrYwKs9Ly47V3m
FF+8fGJ3Q9bcC81ItNHyx87gsxTDBCx4HVPDFHTaZL1RCielauY5gmjtNgv8S9EQknSkYhGv8AW2
/G0Y6Mmou5KxLtJa3ArRZMeZq+s5g+TTDtMpdNVXZuou6pfqvWFNlwbSyMSZHZl0K+6Pye8h1Oj9
PClWZ+8tcbW+ubn31epLVR2NmtJS9UvcZ7gNbJO9LxtR4S79VbZKGrWe8zB37NDSwsGsWjw7ufyQ
I46MC517CvZ0Z0IAVE7TRSGYdwC+9SMI8G+hVVOcz7jvvDrYM9XmKQPvHzkd3Bk279uL487+FW2b
R6ds+uvZglAC5VulQbhmybxaJx6zTMW5JgpTrb2yWooIA1qFYbN8KDTuZp/l9KjrqkhZhisOmgli
jWW9U1nHoVD0MDs3do27xbn3ej1iwsfBKtY+ixzLQTNLme3sMlSJ6gd2KHC9LCtOEqwsUJz+rmHe
uVbmgWTkMfNLlVDXnjLhu6m3rjMsIErr6qabqX6RoW+mlJuWV7EZq/M4WujqBus17q6cshYqy9K8
ijAvflXB/zsTEPTHv58J/n/z/lXpvxgI8FM/DgSIVnV9POoRj+uFy+iPgQBYClo7BzT7J3Gu+B/k
cRIPWQKQsvxiaPoNL0GgJ0WUDBRCv2ApwT+aB77LwH6UNsG3BAcdQJMNucHThP+El6jOX6W/ZOaG
1N6jxH3mGv/cMHMnZ5SkabsVc4JVjbJDtSxV0my3a7bduMM8ZhHpuz4KFmx7IG/vCcMyVHQBjSY2
8MisFH15O/khflcbqCKtUbqOYa7dqCvqB70dpLVVIqJqvnJ6HLKmrQAsbAfPmf0sAQVfpbV14Xga
pv6a4KTi4an+VWDX9lK57hAp7vZQtwKSdLczbiCsFdux5wWW01W3j0UroLrdagPR5tijWMDhkmNz
AcMbsOYDOqBnaCicqHb9g0Kpcbaak/Xmat2q0OrnnzGYVVHvj0usUapafazohW7lq3jXXjyE+UEp
gB+THaGJ2updgN0uaetZJu5qurRDWZxWwOLzoL+OKJh06KYoJPhA2mZHg6K6OEEXLW3qrJcR9XZm
4s1H/VVbIQ4X7E4harPONUZ7FGtmBdSQM72RXG+FfEypILgkXmCiIc/NMdgKP5QR9+7WCkL0hBm9
wbQCxOjWLkpa0J27tRATWDQTDui/y9SQ1luryeREYTETFxddaBlLFvm6SCrRYggx6PZby+o9SLmE
gUybh9DYcBCrab41uXwgWJTQ93JHVZEqu31PqpORwSML13e6tctmkdEAmLiyRZgot5CQ8egi6tBh
J2LdmKPn4qF8Btev34ewJsUyoy257Rj8XyLD+CVgaumkulmZ/lIquItcmDRwg7+HqlSRBjZ0KiR9
0b290sCfEgfoQlJO3gdmqw8bLMvODDP6lRHZAXKNzw2OKCA4t4gltNyoluOD7+bm3AhyslX12q0h
TBQUKmVV7NXkXPpl6SIDgwxsVRmNlMymSBtzPVQrjo99LPLsc18E4tB6EMhUTvOQrV4B8n381HvB
UfZDfhC+OkErXYM24M1OmPbIc/9JF6Q4AYLjkazWB/zO6dJb34IvVyodcq7j79oIqyFyoeF28WY0
VMIzntCMfTKqwqi9jmNkTNuejAuzzOxgyS+Wssc6XgPAm416yUmWH9qi0LcV9wHGeH0ytwvdibF5
Fu5aRflQgI6u0L5cVeICdW2a1RVmh1KWOO2DezTlNg1VvEi0Ox7JKsixF8UxoFm953gvUc+9JUJZ
HCIBShWYyBqpvj2woT9UDk8qhTZcVQMU+LVDcdLYEEM6MUcLK4IkzE0yMArxC/4Di/VtlYeRMvaJ
ztXZ1+NJect1yPSDDTAqr6bZFw5MeG2TrVEr6bWdx6dSYSDHtnLbsPFO5tOzkPOVaVb41MDQS0h3
o0ZVz5C3ndhMDosxj4PgJOrHlkTAAr0orOeLNH0aEK12zYKx3tXzVaa9O9kudTpPNA3c7uSOYxst
ZvzG/OytzOkNNITXkDze9lUATsuaz1nmzwA61pe6AM7GeiFS6DveTBMA7cQkGA1u96gKdp6dTqW2
xl0Djesin72x8g8l4y22sa3tFwrqrG0Q+HetJwQGZAKR6N+3cKwCw/cn2iA4/y8aOX7290ZOoW/H
A+SwvlOYnjZt7O+bvfs/cNEgIv8PeuOPzZ5uREnog32FpH4zeP7WyQM8XRIYF7wxv3T58J90csh0
/4P52PTC2Ogh68Y/G/LwI/MRNsEatigUN7UtoWyMda/IqZ4pO7UgGaq44s3TUuVoerNzES3G5Mpv
bDRVPClah0R0qB7nfDhLMT9YMl+WDE2vK3gYQfQA9Uq5QhQ4PE/Nch003tEvOabqTEX9xknO84l3
I49nEMXlirWgAbY8ZTixWRDOe2z+3zyRD/H03e1RyiWGQsJNtXT6aBVsN1aViFkNaC40xevCcR5M
zZYU6F+TEN09Mo6KxkbHxQqcx163kniZhojlvY11m32qQ5oMLkeHNibxy+kzH2VUZX2T+DT4glNY
xnCuvnAIkCLI5o/eLKBGAjgNmd0Lz9leBN0aZ5O3K4R2Is80B5dbP7FKHMwMh9LCLHyqdv68qOxz
M8w3RBV9hOX8tSRhGTdM7qWcj4DE2x2dJ51oCzhR5N3XnDCArbR96ZSPLW9DYrNx+OCZu14bubyX
nZ+dgdJC5+u7TQSwOXVaQe9dMDIJg0o0Ljc9kTJzuJ8meaZ+bzHFA04BqqmHHdTK8cqCEvtHoHb1
4pG4hmg0FQWWiTxcwQa7rblaiJgTCYH/TqApJ1kNy/UAsg5tSxYgQ6BkXUiZpS0x5RmLbL0X4TQ8
uL5dnzGQFYkiUH9JU5MrtCsoBCYpX5VG6QSEzF+w9jb3RtP+tuBueRRUz5c+zLCMLbU6QZ2lge4z
Vl2yqe02ceJ8GfVau9HakOzzLEpHQE3j9MfWJXdShTQtiql7Igu++H0GS8abU4X5NyawADebo2ka
ljGVMDktDSZAs/me7OaAMhqyP1iihmXFtz6lPaxSBpYpKDTD2OnHa725qbLNVxUQi5q8ea2CzXXF
YL9imw+rbwgE7JszCxYtqFrzSG6urXbzb/HNybUySRO1ubuCzeelvlu+3PIh+MUDBjeY2nxhIH3s
cwht7JEjIj4qNv+YI+AkM7CUzZu3DNLJZBZwm/1bzL8X8y3H/u+L+feHyfxnFf8efv9rigRiQeDp
dUMEa/sAan38vt+rOHyUfgBhPuwP3Hc9OGp+reJ4vA2gUoYRe/NJfXdY/lrE8SeQAH5/clkI9SHW
uH9SxL/X6J+2MbQROBjQYVz8LldsNf4Ho0mveug/C1hrejR9cejlBEORH9xQDOIa6hUnc9ZUdmri
YDRQA8MEJAPLkgWKT5xr0tDhYeI0D79Nwhy003rZeyebioC1amvnjA9tshMF7UHTfHWc/JbJFpoK
kJLFlvYwuvMIObe/QsVcQ1xaFlHQBhvFs3AOJmLwQpCHehkDYL0QOBcHELOQEtZQL0beDG/QoYeg
BKLpxgAJ7ada3+SsHnucsmUK0lwQhblW8ISsw+h8+KB3frEI/QtFENyPf3/rw1Exmr+aYPBTP0ww
AQJmKex0cPLA4fvDvY+cUhjtRYAbnH23/P527+MJ6BDn4I8wWyAr5acJBuo1CMo8GKPwS4FT/LMJ
ZhO7/eTegXaDUMGQdo63IICK/Hz3z5gXoFbO2I1cu2A5rlw13mdbeEN2AyWs1zTQYjjuQWQbjTYW
DwtDDoWEtxQI9ogBJuNlBGOSTMdwYInxG3IgkwStOnsQT1j1Tpc1j9Fp39fezEnjwbmmDT/XTQ4h
clbdVj3kn3k2pF1jWGQFJKhiWUHphhB9QJ2WwaUhMTI5jU0LPdRJwYfz2HZhRIPyk6X8rvTaPa8b
Has5ae26L3sI7SxpCJY5dbdiA1FcHYHF+lFZK6jrBwdSCYhiQfau72Gl7zjvyWEE0YzVw711yVBf
jWxVO+jO28TNagXLR//Ny/L3sYIYrnGCdFg+wB/4yeL3qXW8PKmb9mp22aeuzbGkgtg4MAOjD0ie
LpYdLSJPgfNZRahjauezt5ZV6ur1YxTZblT2TMNpTwNo6Du1N55JNZwpIN8tiO5Oxtp6HwOYRzlh
0wpJBCHNpQUzufrwq4x5BmtwMMQW7KXYaMy67g4NeM1ZVY81eM5haO86Tc4F+E8IXSGX9ps7i0s6
bhQpmUvd7geHip3g3Yn6zefWFAAsguwCCv4C80KLQTFr+Qm8mb6jM+QZb5Wuczc1nsrbO2cdlm7f
UFCiOZHkBVbnUEXcyi+u74HL1xMUxeMXzJm7wA3zeBL443KcPoDOm7jClBU1dj4MS3HN2kykILGW
XT8U3yYHVbcSyysnyB1Z5ztq6Rssbiei1tfSIouC+8ZLg5x9Ld35NJF8eauLHhExQwdTmQduysLQ
5BNsv76+g7L7EGjhXGC1elxKfCz40wFl5eImmw2M78WKbdJPxmIA3y15mA58IYc1+EYrxeBTGJ7t
AJF60yF0o4ZpQuaht/edEh4ouMk66kMzaXXsqOJLLvs1rsdl3YkJ+Fq15HvXMa/lpA4KxyZuRTtH
MI1AzmBWgAxQSlIIsueJZYBanNslc170QDDjexS0ePXkZwXid6gbAGTCig8PGyTWhzqQAcAbdWoB
REcFDDFjL/yo4PKbKYabrmHv1kCPUQNekEt1jYZ67jAQR2CWzi3cO5HreTauMO3qAr2nGuy072co
swfEBUVuiGhfKV7XQKVN7R+JyV896XUPq8PBtBUCvjXXfwqc4mEGYkjC6aUvWHnsivC4zv05y0V3
zpR54ZB+oA8/OJwfC0/cOKG5Kwj/6Nh63TT6IBXuzZVjgOxoOyYwv91bC+kE/AL5WO51VYSpnMM2
wunhb8aaY+FW430mbAG/Wr2DPOnMByP/Zd5/VV8Ddf771pZ81P/vGovMx39OdmDD/+hu3v9glQOH
Tn9Nwvihu7EtXh3UOvtNSv1bd9v87EjVggl+c4uS70PfH6MdHDWw40Lk6GG3/2cxGAAOfupteMgl
qP8QQR1IwGB4is/PvW3IxsrUa+vethCiEFleglzGnl1+uUWgrv/rtI1fRsQ/Rkh8EgSYbkAEZAaw
KsPO+PMLwcQoocuS063v4wQj80mw1F/HU1PCVKDcXMLAFUBtMqibcBkvveyeAlfD4gNANJ5gBUyl
pvJstR8m2Izg512GMnL8bpOB65fJdF3ciAJFfhMUFqZ+6PCCsdvVt4qUOBJBC/NF7/aJgPUl9qCF
g1hNnPtm3tKqgF7CZZKEPocIT7a7jNsdzP9DMkKInRg5owSxT44IrkI2hhE+5kvBahWDWn8AtXfv
NPO14/jXQwkvOpkg0IEF/ghTzPWUNTk2Q/qEY15HJLc2cbciMtrhDt6aHRz6n0KhP9w8eMub5VVv
BLccA3Sopbz1dXbm8I3sIMg/8DDTe1NoXCGtnxTPD6VgeYy8ozMErJ/bqZA725AOyyCE27Wau8QZ
N1UcKEZkZa1vtGm2nby6YQJj+VLDNdd5Sc/l2xjQJ23yKzU3Y6Toch/04x4Y0QGctgPpJQyPE/NK
oK/wNhau/+AsXR03Qy/iIHwLB3DLHgKQemAPZmTIHAM1IDCi4fpVe7DK38QClp9w/8qxI0pkC+Vn
j0GDBsu1O8F1tWCymQpa7iStb2FyqnaeN+3Xhl3leZZHA2X70OK7LSaJmsp9m3R9+AZg6QAw8l61
65J4q3kuOcDwHIaXCDlfD2Yaj9SXNtEe+UKQDRPl0/Jcl6UPO+qKnDeg2aaoLLw5+iut3a/uVGOA
mOlB1eERdBfFNDHtIZG9a+BenpGscAm8tY153X5Zq+6lCEwRN1w9oo9XCesDeZhGbw9daOx62Q4K
OFhvcIsBYWdTAd9P0b+3lcr1bhXOsMQ+n3VEySxLGy2uhtkL9q02IcG0o2La5G56PtW1D3gXUWQk
A6PLvK8TCY9IwtvZFQQ/AhI6+yx9bxPlTZSsiBvb2vNMy0RW7tEDQ02hbx02+YLo3zGN3lPpfOC5
ijLq0WEU7kbIMC1QNjMAzp8SNUl6dBofgtLJXoTGcOcAN/NLCQWcseUWMTO98iow6Zx3V3lJsth0
MybgzetmLl0Fl8FgDtM0vMDKDfIZq5etCCyB6kpyHFmvlbfoiefacY7I62JAl4oiXecFSmdbfuUT
DNrVVHnRPNJ7mE/3sxo+JObUeB4hSuTdy6RTcG7Hgmm4EJ3DwoP3uSJvq7/IOKjhPFvqt5o92MlA
HjqeOpVHtYM5qdWxu4OUoAjZALrbSyePHazr7TQtMG+tnd17QTXsCIVAObfsrWUUTlA1JZmjNVwM
3X6k7c2ipletkMNVLuwZERriqnNgdn7cQK9cMJ0dlNvQ+v8qoz8HIWxVFO2CYZCDTAsb0xY2+eMi
bozxWLbw5XZa4iBi++w0P6irYzVEznv7qUvlERxXlJ0xS40JkvOOPzS421/K9Y+hSRvr+nMRx8uH
eL49YAh3i6j9+eV1NvrW4eN6a4P3LjuGZIjC+c1RTfTPXweJ9ZDtu1vYC/lTsEU4oGeV8Bze0vKC
vI+orj/C/IiV/v94nZ+73y9fJ75P9ECK+BjwcD9/nh7aGX+kBbnl/llzWFigpmCf/vtnYX91zX78
MH96kbEgxLgwt9zanXkGkZfaA/kqko0pvWpwj0X3OoXEfecenq5FUkfXFvF7zybN0rvqNEUHQLaX
IcFfTNQO/6bP//39uduX+eeLugVgBZ7vYZf+7tD6AdypkZuApYTQW/gArrM7kpIr+ik/IWoAKpNk
iU6vdD/H1/1uOiBOrTljTbuDQHoHQ1L8/a38i5H4/3WQfB0//wVCsv3MDwgJQQfHkIaMo43k+WGG
RP47HtTm4fJ5vzr1fuN4kDTshYAO8aQ2/JUNBvmd4wFCAnwQRxlj2RbOJv4JPIgHifx0C21hkwFM
Mpwh2wSViW5ikh/LUj1gCZvVTG6QJfGSha2/59IDrOeMUD4J2t354MIPI7rh9Swzs1MKoaED0s30
RoROLdKRSiSSXLSG+40JYBlm4nsLtrsWc3elVyeGtZZFg/iCVkYSt5kOHh9h/efTMcwEtH0d1GFl
vh+3pM82XJo4mNjT1OoDK4v2sc/zEclr3RcORaAauydNWRezBhMNz/sv9RLKRBnWRv00HWbQRnG+
qqK9I57Y04qxW8fj54xPWHYnNLtmcrLEoRhP67rHFjq8B2P+JWvEtHOXlqT50vVHGN+RzKqce6gu
69vNEx01vEBkhKd9UKtBkGQlZ3EOXQdk1MttMUOhrkPvqyn5HbyJ12LAmNgV8qV0vUekOWGaq9wP
jLUzQl/zJ23btOzNcUREBUZZesj68CtCp2CaLIqDDOc7RIVcGe6+Nm1+rtbwkVZdEPkr2GXtkscu
qMBy4CIMRTfENbwPgH3892U0cwy1/gtU/zIyHUwWvc+TiZFbUTOaFFl5V4Lfj5xmEtNpWTA7L233
DWzYifD2WiDewMLtcfQqcz9yTGKzj7lt1Y2JAw53IIemBZl3SbBiqu4dB+ACouAg40fQg5FQ3+oG
rgVYbMLNbFO30E5aXh3hawmvcjhy3B6e83DzmTijJCAA/S/hZuDpF/dbrfyFw1C12XsqN7yuN8tP
22r4JyRUfoPfSAR3tN0ph0ij2MxCBK6habMPwVwGWmpR35rNWmSoOo3ave5g649Hb4X9qGQY1TZL
EvWdPSK+WGzhVuJwLcHRgnCcMYx7twAJswlHTI4vt8aoB8P3+hzA/0Qz9RmOTUwPHjux1rmjm1Oq
WNIRzikEEAhI7iCiIIP2jhz+Khj7T/Pgpwy+q4XKG+ZBMRHWIY+QdPSJwKPlN9A8D5ttq4B/Cxl6
Pt62e8k6WLscAV6y7zexHiH3DfxfWEr2vazuS/jC+Fi/TkR/9jfDGJXUJAs8ZELLMdF80pGCv8yH
4xUiQucEgw/b882ENm52tDYPLqSnXyDGgFENjrXOc0Fx0W7XmdWDg2ftkaZijzIDF2pbAskw7PT4
rlO+bWYth9xDud0LKKmrUCG9SahdVXgmEm72ZSDTLtAw9Dr1hLiFQKlYVuN5XhC+sIS1jNvF/zpM
/tXUQ4/RIOynz7QLV1iD/DV3s02ZN1H156Zpn6hcn6lj7vD+6mhliLKZwitoiSF3dsckX+2UhBT5
iD2ES+NK7k3ovS1D2IEZ2IC92ZlPCAhwjjB6aoCm5cXK/gFU70fRyXvBWz8GcNTAKetl5pgF+C2r
LvxDE7BUZz3GL8+pj03j3lXEbSOwNTzusWOC2UVYXKNwEy8C/hLsfTeVMjXenqphHqllNOewF+GR
bVHmky+I9qr+7bO/ADbbbPP3gM31h33/+heddvup3zstfBLEw9gJXAUUwp86LWTiQGRgfUac4Gbh
/KPT+kBjwJCBHkNqyJbX/ZuaIsTv8wHagVeFNsP1/1Gj/Z7o9ses9r3RMug1QqTowcWBd/Fzo81G
+B/9rFxuyvbWWwBnw6eICIghfJpXFzm3Cyjn0G0vYq3vxcI+Y0lHYJOzQvlYwKe3lAZxHUMI2Vt4
AyetggSLfw4LeVWP4fO69k/e1H4bx3zXOzDBlWHwWndQKAp0kZhOiGdxm4uavCm2mQ0juXrXE+mL
uOZozoARnnnO152neINy18cueAGcdf9F1sFzvqyfnUy0cSbDw9SPT7IcbnXIrhFXR/ckFA/Id3pS
asYQaoeTmiyEh445U1EBHmgt0EuFz7xC7wc3lxiPoyh2UJxkUeW3u7ZwPo1dGWN1iPyt8CP1akXs
StIGMPllraHpCjVoVSJyWtQiQXJLhGyDryosbyC55FFe9gsA2yYpbebFtDMwfcAU4VdeGcOfDpKz
dao0dPzXZpVuyqcsSOeS1KdAlWHST6ihDuBblKzNL2eTGvNMEi4sEhMyNTw6PvAFAqpV+89Q//Uy
zkvNHkLMDQOULL7C9j5zY9YnOk0rtmWBDNTER2DsJk4drL5G9kwFoL/Ia5Zkagt9R0kS3KbSLHtS
z7DtWp7CAw/vZp7vZ8Iscs2xkWc+fWIBaFRUpo+u8q9qYpAMCTgIcoEi4gY3TpGNTwh9eivrD535
px7QFmq/gcgSxVcHVcyrFhstcdJCdog/COxVSFQTy8U7Q87xaWH81HQgYRp/ee+hBHlijbnPG3ZP
YeubuukICnc/V1V2KH3YCJwyO4A/gYK9987LCGFr6HTBcXEWVNFGPDtWC/C0zm4K3T0pLcTt0E+K
bDquIYKpiYKGneVtElr4Sy1S1coSXmUSrLetm+28Ecp7B8oIrcfnta4/1b77DSm3DUwt/QsR6tJm
8mkJite80bdzIct4HsRBthDg6RZBE6o4ZHMVxDUDBDIPp2aEWs6t1heEzUct7d+HpUQkhXsOqxIG
ue6Vl9OQZN5UI62mBe+s68eR6afC+DbqRlgcSCDPcgaDt1I8JiB47cN+iPTIr3QX3K8F2xMv+4TA
zXkPZUncjOObL/J7ZJvtAqANHvNv5o6EOGOre6kEhIU9by+rRPCnl+9k+1VKhGDYoUrNlO1VOWFC
2oY1jEO3JfcTAZk+GgwGugGT3bqNeBl332EpbuErkUNMMAdSkFWRtcsj/1/2zmy5baPd2reybwAp
zMPhT4KjSErUaOkEZckygMbUmNG4+v3A+Z1ysvN9VTlPVQ6SUixLJNj9Dms9aykRp4q9h9V4jyXV
o1/rr7OfnJH/XS1T2xlLmRlQb0YsM4vA5zHy6sPQFzyA0WMuZkpUalVHsARNB+ORx/iLt5SzVEHM
SN0rly22FtVssGbdVdEI/aI17HUUmx4VZums8qVU9pei2cmm/E5lwX2Wca4kS2kdDYm+KQANb0s3
eJ+ov4EP3kVLQY5XJArbH0W6qoNNI5wb6bf2HcifnaaWmj4aavEgS+MjUhYA4mzG7F6drDl+N0rj
2LOOwmodaJsuMy9JFwtqYDhLKvfLbZCRD4W1FsdkkoVNJrFxd3Wwkl3AKxB4yEadvFlHdnOaDe+m
M41j2huHJOnuGwa/DIap7Wb7whDrpir4LdOsDmWHHsqZNTtUAFFFUvRrMj3+lVH+/x3Nf73yN/n/
hFWDG+JvdjS/3PqobxZ5i476gKH0nzWUKGmYjiCvgarlscP59dZfigHw5iYYr991Cz9vfSK1dRPN
DDc/9/Q/dEdiyvhrf+3zfRj66Tby8kWL8+drv46jydGMATeEXT2Pixx6QBetsVVaeaJt7gBmIppm
Dv3FsenlAiev+aBrHvpm6A2tNpTHOYb6AB+YDgM1NjYoL2xYGq8l2FJuSkAJxYK2Y9/QrDu7rzZ1
FAzrepF5C/TeIAHRVU5+wq7VewrQhDOwLbfujM7fQy/OrC3eNyjIu3R6iUb2noOQD02VoMPX0mBv
6PFHif58svQbKACXSk+ouheJut4IY6scjkWJfj2nS1GLoL1C2Y6D7jXqTDICZAtysH/QhzjfxjU4
x35EDg0a4d1Fq7nvFtF8A95wG1TTp1u5n3CgRQgcoA9btPbBZH0hoaM8yp6LDUj0V+Ci12QR6PNj
fgRlcZs5+MitwVtriVtVzxO76A1TvV3GibVz4Mzg9d7GFZ7oCLfX7BSfbm5spoVJU+VyZ0Op8Zrx
fnSzeI/w0mdZTxJMNs4ULKnGxaxNt14yWqsU8k0KAWdYUDi2aVTADfxqVS6gHAExJx/Gg+V2bwD1
IIpZQHV6lKzzgtnxdfXs52L076YW9aDsJq60nGlzcEo0+X3uk2WwMHAJiB4C5YRf3p7zaVekeFTr
VAQHWavkamXmE65uxPNgMvcmh/ccZ9brrHsrWayCoH/s3Ty+IIiQx1kvGvBoWraXTrUZhX5v4M1j
fu/jnMGkucr09HkxbwIo6P2VpWEYs2IoqtKVU+hU0F81rbqLRRRRabDed/VHUKpYeASWk56dY+4e
7b7kJUZRG4npRTrpN88qTpEmmIsYdQ3moytWntZ/pabAomdbr5qZv7G5ohCJvZ0K7IoxidibOtZP
r2rDqZ+3mmkxzZn9rSqzkLsc20t2ciMPBC/aNdC/D8Vcftfzyt9APXVXrqPw+mf00IMmPgxX++KY
MAeS6T5PupMatEccwW8dk2j2b1zEnOD11Fy4tp+mUtyoseDdisznuEBQkTTRI+jXm07wCkkztreW
ZCWU+cGlNO3XyBufXN2YV3mcC0pwZiSgPt9bO7gfG3GJZbM1o8Uw5A23o2HfW4rfpWDu0rTGATT5
2iZYJ8aq07vjjdSc91h1z8smMC4dOCbObZLOe6spVlKn2aY+/OL0vr8TsVasshSJDMccBW2tIWte
YAsR+NL1kDZfmrY4WsFwzizzkOjzc18CBhngA65razzIxlmgxBWIFC2/hyPyDuUW6ECWN6vZ9XcL
D28DGcDfRB2NPWJvYmUCBDg25mEhCwFkUq6nFjOHCShlOXE5pYxqk9nDXdUzJDKpd7f9oK6xjo3F
QJGi8xJwJl0t5Z5FH3wwfVzUIO6T6dpny67F2urhXgxKIgRejrgmmSFc6Q9mUG5zL8G+K9ti1QKt
CQwn3xd4Xo28w8NcdC5V7fTSz/GDodvvXoEoKDb9M0kN0S6ONW3Lavze8EDP1HFmgIf03k3Yoxuj
zOn6XblRFpTQIjXtRX6zzWArNN0cPYiaAj5tjMcyHUqYYl76IRPt4sI53JAwAIQrfRmT4bYJkn3h
+N9ntkubDls30BIdiEwt4Zu3joZ8q52LlwI6T3yezVitOneoNij+bxy/eQwWd0az+DQgRL9Vcxps
pD1Y5FHMX+jOoDAP7bvbafV67ps7O80vCQYQ2se3CUOIsThDrLI55rO5IX8o3/Sdc8UIcu4DELDu
4isRGEx8jCa6hqa7WbwnDtlMLMn6RwtbShoh5MemIgbKxYz2mJ9m/hIsVpZaPRfOeJWjuON54EXA
9FJgfpkdap1uwd8MernD2d+zG+weSiwzhtseIRbf2Pr0VJoI9LHWuFhsZMBY1udfpsV94+UuG8/F
kRO4FPjp4tIpdZw8nLHhmMp9iZGnWRw9HtYeOiZwZovbx1l8P5h/cABJcZgXT5CWQRf94RJa/EIg
kswDYJM0DBY3UbX4ijK9Qbm3eI3iiQ384j76d+HxQw+ts2v4z4OYXf5Zln9TkfGH/pjDGL/5DmYR
JMzIPn+UXX/ooYk1ZgDDP0hXTEq2XysyyiRUXT9LMr70syILfrOQV/M1M2DXt1Au/kl4jMt3+mVp
xiCGvQqlHd/T9217+XZ/2niANvXQJPvBrVk0gGAcY5a4SRadn6WViblxEtCZbxxxzRU3CqrAYhEI
zigFXRGcmjLImB5m7xnnkqr5NJhdvFW2zYMorXxaNJHzoZysetMPwTXzx+8LfHONLu9r0Js7Da5L
3KZh7NQ7Hd6LD/dlktpeS/N3pwE05InqFIvxmi2oGLdrwrhx9yyD9roQkq5uXIMbgmoMZwZ10MWc
9TBdADTjgqLpdbVXC5ym1Ix3UYDXqgfn0PjeFwnHZm7GD+Jozqg0c2chJrmvAd7MbsHfUCN8NsoP
swWMIzDJUB4Ay0HRvWU5z35hMPY1PJ1hAeuMC2KHNVGDrBXsDqsWflscP2FbzS8FfB4mn2DaBcie
ZoH3mFB8EpsZr8V8qlkAP0YTexsB88eH/UNJO4T1ggMiCee1gA+EeechKatb0LIohYrI2RYLTAh4
2mFc8EJBCqvGQOcQ6qM9AP8BQyQXG0wPhHsNNQ4hg7oWTnZo4Wus0NJ9UwWjCH0BG4FJpxZDG2DF
6is6X2yWhvG9M7WjARUJE8gJITprhwWYNPxAJ439eKoWnJJawEoThKUZ0lKhleMX3s+bznmbC+ix
0CfhBEDoEaxToodxQTY1yIVbIPBBnZw0s+znTZlmDHqAzlYJbn6WAFACYsc75K1va2tnSHap7yMO
QUIcnE2kh0cvq4Ydq4nqwOsi9Y2tY4EFxRg8RMCKgnWujImKqZrd/eAoe8dtb+dh3k/xzqBvpswv
G/PkkeP24leuv2dtpX/59zj8/TikYfvPx+EWOFT5dx0qf+rneWiAXXUJBWUDjK5dXwa/f5yH+rLM
xR2iuzr/xxKY83Mu7f3GfyODN6xFKPjjFP15Hjq/IUkMsOx7WPaWHfA/OQ+9/6uRD7ALBiADPIPp
tGPxQ/y6Ac4K6G9TF3kXNMLHuKuH8tyNpnLXohikBJCe9vPOH9sW3H0RT89VkMBTrYISfFgnktfJ
ah8gvKswacuMo6Hf4Y8KUfyggdJLE1NT7q6qQLzjrEypW5x0w3AYrDPwZQiPrO9y7RWc+D08w5ex
r4zs2gEUfIA1tw/GCZd/xLKWwibWU+2SRaU/MkCtYedp8atiBHMXRUnq3iW58u6c0kfWZaMjt1as
yroqdJhzlY8uMQPbiLJt3LSTEXVkVrRJ+tzTlxDhkI0vmRkkLMWyap8mQig6kuYMj/449s69E9sK
IFf5rM/LcJDDrErkh7ngg9ykx7pHqFjDAA+r53uycLkbzb64vQkRaHruk9RZW/TH2qCFWkFFFC/U
HFtKI/TViBm6ZO1k2MkLkBYfRVoGx8R54OK45cOOBF9Lv5FH+1j09qdui3TTFrwojt9dPSujFYBa
s2esD3AsltmbsgCJZ2O612fUYPUi6ity/7HODXNblUz+SjIfVpMw98zHVuUwNGExpgcrsUjbKhjE
QmSfcaFn5cYUNfEBujpa0rxGZl+ssZtjWbPNfZUhaTP9bFwHajIPajCQI/b6N70KQr9vC/IUnAgi
TbsryuBrnFQ3TNhuWgt3QOpzglpz8OBFXCQk/WynSPvmBPM216cD2NsL9x0U8KgJZcOBVpSLAS+S
37sKDRjD2mzFGf8xJsGED7D8wiPdIeMevL27TEJ4vK4gcTr0BkwrHaHRRkd3BERcnRjPeZwY95HU
UMfQYKz0qXHW4CbZbtODJE71pRcmK9S4O3a8g13bbxnlp7vJAUTl6jU7gNI+FIO6nWrnxWi7S9Cl
j6IjnCbV2+ciTu6TZXEh9X5nxK52oIa1oLY398qLHqHrXee65yPC2DlkAhpzjaUqNJroro/mvcoj
DROp9tHUWhLqtsx2yqFmn40gX489htHYaTGV6nYIHn8+Ms28FSQcbCvfGdeyL611MeQdxqvxBNTp
G7FwjDB9OMdtenaFxGuqezcEqS0rG5DnCouKwQcgtA3xtdHluFVBdxs09pdBS/Q1H/VhJVThrpPe
+l6ofiYwqLrvZ7nueg9rBkFvnrckiZQVSJhseDLHudxrNk9ntHS4bZ5+5sqc6RW8L87oPJioJQ9D
xcg+b8wD5aAVoos5JQN0Thf7+lovbHs71uI2jV2gz9l9kQ+XOOHZHhOPPZjINmkR3JlxWW/dnPEK
2wk0sM2kVnXpPo4Gzl290b9Hpv2mW/kHXu5DPVq0PTG7pUgzP+1We26FF6yLonguxs7cmEH/oFRn
7FK3eK2UfeNolWL0j3WBubpnT+7VEr708MjoijCf+p09G4QJB0zwAtjonfrsaqwH5oxh0zC/N5b5
WvuBtQ90HBAy8O7mfihDv0ugOzXQNcG8MYBPFENsts+611HpdOD3pJ7vlV4pUsAywVlrvUnXfugK
4htGoO1bAohIXu0RqwqJsqFM9csAcGqDfvRzmFUQlg6NtjCHcIgqb59lZQAi22Y73TPnLhhgw1AZ
PxDxFmujhRGtR6NzSScnpcqpJ8TVZsJ+vb4fS/o55YMZM4gOyNJy4n1KoVJYKkwdoUIlEnkuvPGg
iuitKCeMTxrrFixi8WqyeFplIz5cbH4AWcW8ccpoG9uW2rtlUx8qaW8zmGRhgqRk6/vMwTgP510p
6rfGd8i+0AAgsglhgnFNNMJZ2LAFkBCWxUhXBNtJKzHfQJi5uqUpt15tHEj+OOHHBqRWCH/H2BBy
Cj3AOhqUOiZ9/y0DGLJFK2MdTWnBPJMQq7IpLvdJWbJEGAvem1FpWzY35Dgy61jFBGysnG44kBhB
XWr4uF0cQgvy4BgF842WzgWRGYx7omy+QvoPIe4++JrnnuaWwVfSA2hjHHIn++SxNJE4Z0SJbIGS
pKs+0RrCtroPt8YtX7i2v5t8pPLKwM6ONoPKNk/uutS8KxFihFmVDjsp5xtcaydQKyHOm7sBi/XG
EjWCKka2ZK80l8ARHz5MvbyNmM96bFddIu3g1DhwLXy1wXSMwHWmZdH18dnos69Vpt3lTfqQwVVZ
EyHmbkTDPrWx5WeOKSgudHvbWTaWttTmW4JvDcdcf5Uk3ayGPr1EQQ/vzdCHcKybaF1F2U3ps1US
k4if6yQHjxK9usyWViYfXYJ0vjdF9+pYGqz07iJ/6K674iNi67shwyUjeSV/7isfV0GKqtrUtOus
ow7T8vRsYGkHp5Ld5Njx1zZ3qqMNHGCG8TlhTPX66ORHqmDjqI50bex1M43mrnwpFAvYEhmHq4oC
jou95g091q1x4+TFN03638eJaZrLQJlcqH3Uik9sBtu2r7pdS+ZMK/nqWGnPutAJpLopBKOb3gN/
ltHQiXeCKlC4QTsQjXeAWLw8NX68bt3mOLcjg6yMt6dgcCmYhE8zz3MamUwJTfvTAne/wnDxkIqY
/5kDfChAcTa5sbIhkQMW9NMdldsbFdghnYgopdJZWZ17nB02uCzNb92aeO1gfDEsvrmcKggJ4iZj
iL+ziu7DjmHmeCwKJSgy3SvAsZXPhsWFF5TxzkkMIAQ+/WeWPjXjSAPbQkrXZH0n0+BEUil+Dbe+
77VmZFnhGPgPih3YU8Z0pti4xlisGLaw4IVnv4XVzCh8xkoAxfGhGGp+Nb/E1UjdufLzFAIBO7vS
bg6elRxHJb4nhpNu49FHIyV21bxrUfKZ/q5RZWhMJ1/LHpN8wFxik/6F4WYnxKIr8ChkrPndQrDn
jvE7Cekn2+wxpUXs21tZf4W5s0TSjISnSH1obvj4PMaKLQPjrGdDevRvi7SLEO29Fed7E0D00GVh
5FvyWrpNAfmmTF34caSnay/JUFX6GtRR2xxxF4wFa4Bx8IdtlQ+auirenVJ3Ui20I3Tq8eyNKblH
GSIIhqJTRjwUI7jdHMTMNyttq3lklZeZNm5TuwrtAtlWNCC89A0aQ3+oGYfGBukugqS78mG03WmL
bvw72Y8v5C86Kzan/KZpt0Vnckg8+yv9/N2Ukl2VeOzwk7Rjs+/xCckyG5bEuIj9mBNznSjqQp2L
reVK4/1b3jtqc3RhAB2SU42qcpVLO5w67zJ06W3Qe6eFC7IqW/HVCFTYBvaJdFyqm0q+c7eABc/Z
mZf+U5umKBF7/XMmJms3Cx0g5eDv7aG/Y+lNVu4SRUcrsaKuGQnzLr81Y4EINKHbxei4rVv3ZNdk
xWUDacrQNZ2iQiRaRKdgxJChHC47oNP7fuATLUz+QthR68zO21VrYBBpZ3cFnHsnTapddGFvWZ2u
7eQ2k/A6HLUiDefgNCByAn+4aIAb2Nh0t4UjvgE4R5xtwChV6aWK9YtDMkFeDhfbvHXZXJCfEzaN
Fh8HvXohf+zQJelr53VPMqgwJMz6hhSYyfUe8F+sqXsvqjbfUknubatxMhbxYVbefBB9/sYP+JQs
k06PWnCTdBIiRqG92ajJXop5iMEYiRv0DFXYDqS6qWI+j4OCEekaX+Sg45DIrjjuv2bSB8bUdjwJ
wWvuVGTBJC8FIYT/zjd/3zo7bGj/c0P/WuV/084vf+ZnO28aLIjRNBG8YmC0cX7FPQDtMVk40+O7
0PSw9/3Rzi++dsfGDL9otxlBMgT42c4zHjAA+/qWz/ST0/4fCbqBwf51vLkMN20LtC/YCcRrfxlv
ds0oSs6P6VZ2kbaSfhd6UfNI6GKyFqbqQhwD1WM6GPmtSZDfQ9tHzV7TjX7fz5FBQzBxHlTR0kZY
Fwtb4IYMN2oTT3xas4tfmzLhJqmHd+LxoEsptkVZnU93QRzj4itKbx30UfVoMwRs9N5bETMWDmlS
3TLOYh9IMtg9mz8WCPhUNvEAF781jCc00Pk+z61+J3Ac4+w4WMp/jOu+2U5kreGK467L4favbTd4
03R3ZDTgP5ezmT7R71TnBPH2tpuJcdGyclqz5yERzcB8PuldsK9ZfN7G47K0IhlvP0ovAH5qBXtZ
wguLY+9L1dKx2BJQ+0Lm7mvw+oH2Ojqw3DsCDgI4O2snQSbd2/S1sb4x4+FI0NLNUPnPvJpncH3g
ALtqwQcSyVJmyZsz2F8nl20Oy+qXuM5eGqfMNzKJRxqk9KGDbwrvSGM5XxqYnON4n80085pbfFox
Uzssbke3YQHXzSXrPkeIbac58TaJKIVLZ37ljRYsU+RDpUUXO1fvCLj3VgQ11ZbWt0i1d5x2wwmi
TQPskNOqHv0LvTea2mi+OBVvaceqt1bjXVZY76bVvIDg+SBFiyY4gRiaT7eo5ejzpNGxsNURJ4/m
gcm+s2a62IZjHNwy+ELLWNh7l2McD6K/qTwrYmuTvMp4vpKocSNqmm1tIqmPGEUkcxEXkuuDnb+1
lC6sd0wQjjp4HSWtl8Q3WmTPjNEZEYc55zY3m/OptSD0et9m6KuQLizauEA4Z33IgemRkOM5eNWw
bZ1ArUBSHeD8RrqR0DJTQikn2/i1QaGizeZ944C+G/wG03+cfdSmtFcqSRWtJfSfSgRYzDIm79nM
i5y20UFTBMzFdNTrkQ/4WudJtWJ5n5f0RUNKQJ4fLOTAQn8sk6hl+YVpD3r8qnEEZVPgFkuJTumk
s7RT0adS5h4ykUMKh/PYdNGbWZYkEGVM/r3gYrdOfhjZWqyKsUfwSbQXmaf2rdcpdF1+06H6SN3t
1OCPI1VtHXXOSU+BMASlCtY6tX6T9+mRse8NSkA6oyrlXeqYEVtfWpIztTHejjMgBhu1Rlcz514H
Bc5UnIgo6JPQr/P3JHcAOtHmk/5ERKo38cIWbyipjpM3ykOmwSnOU8O4haa0gKe05B5xZnwssX+s
AD5chhpOlQjcjakQUHKf8pwPJEJFcroqAx+/qmV2rNXsw5Eyo71ed/bGbyt7p2JqTl3DGiHr8iZO
dI/0s946tm48H2thaCB3a31T1fLqsnvfzpk6anr8RWqFdWcKcNqcftlBS+2AHBJ51NC7xhMZi8w/
XmtPxN+hVoQMMHv76gnxOYu5oygNrK759/78/f60/+tA/KH7yoci/9q3/3dJuPzJP25RnaUeVDTb
+cPg9MdQHGgSXzJt37GcH+u+X25R3PN0g8i9CAr6sbr7eYt6RM9z7Qb48ZklIun+J0NxCHx/vUV9
QJv8CDBqbJLpdX70X4fimq9ZWTPl1W2vOAnOwpSOuMDSF+am64r8zkvrAVRK7lwc2qU+8em1mC03
ZvHI1QoD0ihOtdm85qo65m15j1U+7DQTBZOIzr7jnOnVsER4JKlYTCvo5k+JPr7Movz8sduqBpO+
MnMr5pbz1ihscPBzztGJeNG0e+6NTpzhHdHM+DYe6aE03k0Nuy5BxPl2jAffYLTEtOFoZm4Xo4XS
mGGCOwFoUzACcRmH6ZYEYiIPXuoVu9oLjm7uz/ajFXUs3aJixIca/CA7NwvkWSy45/4H+Xn4nQIN
D9r7QYbOf1CiQTVpYdD6jUCOC013UzexXm+ApqOHycfpvXfBQo15+eJxwa+7ZNz5Q9DsZOriSK0g
84415gk/H1EBV2ckCgh3285GIJRu6plJaBJYmypi0KhHz1ozH9DJ3Q9esS7RXdl0jSiKT9Po3AaD
q1a+dBfG/D3m9a9Sq27In9awuPRn/PkQQDW592mZCEU07odeO5ABvikjnFux/M5FuCq0cW+k3ZEc
z30c1ac4KC+FOV3g473rqr0PElpH4T5lwcDk2NtHRnzrJkO7qnP5kEtEDGUa5lLfjU5733R+aE0j
82D7pfCwAQUsg/32iCAMxWgBtlAE30vkNHYO+3/sN2Pl72zogUbVnqO0vUO9+kqfE3q9H0rN2JRe
cpmr4hYxFIXBTHa8DVPQ5PquzvTmK9KZcHPZaynGbZAkF4F2l/H7zUwYS991R+HQLrn6m+mQRZl2
Z2l173Hlw9bnrY+94NFuELIUxs53pxPqxW7VB/qlZ0CoanFpXPNK0bDuZu3JSaxDLpZ3uK9CbsFD
yz3rI6ILovozsNmIlvmLJ5InZIP3XaJtI+mc0HJuWShcdMHV4CoiE+zpfeCH4BozQuKPgNTPRwYH
6wYFV+wZWy2dbsYpOVQtiAVfNZ+NZ96jlLlvkBdTTg3O1XMahrhjcoH3dFZwD2+bXBcHckuYVKdm
ZaFTZB64cqb6FprBaTR4pHoSbvOh1eizRhnKNvim4umiT0zFC+vESPE61Z0bTjJdEPBeaNX1G9Iw
Hj/L5W7ENVAPaqtZ0RtyyvMYTAnZnv0jIKONpVkAYe0OORUKn5WRgcCxCnuRKTbTMjJixZIYZ+qF
e7tJGWDYRCyIiXcc8M+dkNquZTgv6Qb3OAmhV7ee2NaTce5Ev8si4vygDOlj2294Oni3Fihu0Ld3
NSm969JuQbMRkZGoFhpVemtH2cmqkX9b46Zw64s0KSzHuviQGKG25qyF5tiOoYgUL1bnXp3cP1So
wkKs8hblLBzcaJ6g6WLpqHQzWJsJhZZI5alIARFi5F8XZvWl83DgKRNWhVbMl96wzgyXvrlWTXCB
b+4jiXJ6YsO2KsVwz/z2uQvcI0Xt3tf6HNJkia0vHc9OYKjVYHMCFFpOcSNh5ph1xCAulfVW9OpU
1ca4cq30ljDpp8EFFJok02PsOjzvxL2Xi7nAz24j8sJJSsCsbTXiKaAKWQcp8nTb0cbTXFn5TQLU
5F+T1u93v/FfFdunqv2f/1fGn/nn31z+yx/9efkb3m9c/IsZCzTinzfiLMtBtfk0yD8sXIsd6+dG
3P7NB13gguJBT8K8jyv75+UPag4vMkt2agOgc5iY/4FC6K+KbZTiLOPxgi2gHtZpy9d/MdUL34Nv
VgbigiVidjzUsTu7fvllqPA3NIa/QnXA9vK3wGLAt092qs+S/89/S03uU+7MFBVdJdI8rHyd7LkA
Bc46ImBvI6wW4psyDag+GK96RLLrfI5uCB4W97pMrnmKatNJ0tOo6yRAGJqDNLTPV7mR6ms9Tg6j
WRz6ITmnA21ub5z0ebyS/H2u5wpfkHWbNvFRF5lC7bz4jvQaZKkiXgZQhOK4DL5BPOETlhHWKjrs
vqhHvqfO1LCvdtELAZRAwh7x5ycPuaNiqe4eR20udtE4edQ6LdqqwISe0s8Vo8eu1NeNaT8TWO0R
Te5YbyYe2JWGlW2X6lnibpK+lvmmUjTKFRgbJtMsn/dxwA7pYFgMBleD5V9c1app57EGW0qfBMi1
JS3/eTZr8tlqM9812uw6O6MaieWgWfKgyK97p+gU0QJI8W/92tTOfH8J6BLtozb1N5VW7vzKTkN8
6XiZE5OdqefTSud2duyn2vXv+Pta681Rsce5qqqhCmNl3VfUPNNdgjkbnakKboLG9Y4DUauvMKXs
l4FultG3mh+gzPf2wa+QqmOtc8aZ4mOAksbxHWCcwxbnljYhez3LXVNO2PJ6lutY39VhAJd7Cfoe
KB+vOfanuf3a0iVPiqGhmrBYB3V60Oh9N56BwCJGhX4/D/1R6NDEg8oI7mM0+iukGkymVZBsKwmM
dspsSMRG6NXpi184w4m3bgjdOp03TYdqozVR6U/5lB5dxOkb+s9513W5sS6DyL60ycCQXdXtzrWG
/WiXWH8ms73GUhgbXyvOMMtINmnLLQHYV7tyoBj3pAC4+b4iWzaMLf2uDcaHDjvaUzxM/vdKnyDu
ZqE7Tu73Ku1DpwCQGNXGo67129jtkIVXGS6+Ypv5LfekH69aV35r2+6zTJtPxaVcC20phY/BVGw5
QMhimHdA2M/KH0Ir6PaGY54w+qKoG951pz/XhbbNwa1bDcvcXn2gzlrF1Uek90Y4urm1I4OQH8IZ
Xh03fc9n1yYKJWuPMORiJiHziThMMnzNM6DqEIfWq+TtazuLoAbf2xBpsUWUvO/1+XWK2k1c4Bqo
9XoFaRGFdFvqB3YqIjRou6E03PE73jtIe8MpneMwbSLWXIOenhObCyqJzGuXw1we6+4mNiceZnbW
eT2BgYxYu/qFugn4EOmE5JpBAwHYP/nSOtlT9QK+cJ2xZerN+FrW8uTx34MZnIp+uCZBesxNuSGA
KN3EMa2+wtEn6OzXfcN8IW70S6Zlb1VmvFHdHdOWEN/cP4reuM6jEZJDH1Z5fnZssa7zWt3MnreX
GnYxnw13nXn7fjFTNpIIR2zWah6PfjWrQz2TJIBG41uhIojZCdZuFaPidiYr29WB3EWtod3PSqu3
//3kRT/1l9aOkxfdFOoqOjy+6v/lfE+UgRfBzRn417hBweKTnTngjgewlZ+6wiITeGBhXZF6Vcj5
05B1e63rTH/0Zyhg1TTd94046VMUZoH3ok/drk7c72UmYgpCsvEwTOBvWRjOM890vmRHRU7LYALk
uV0PZuj53Z6t0jtKm36divbZ9BIwm0aHvl3PYH6V67Fet9PBkBkD1KiEY9HsTJT2OSFq4P2/qbx4
6D1x7Nm4zm1+rHvkfbI6+a0Z7DrSmsNWpXtzSpw1zKe1G7GNSAiTjbmXwlZv723VG2tI7Ec9Cfhc
W7F+ijpmfKKZnkQ6EBDi9jXPgnlrpzCzahcM+pRm50HOl6QVh2x0ds7YpWEK7iD6MdTz2WwXWHex
kWycWJ7IvB9oghjD5iPNV7HnXmNOJxGLVAqOiGhuM5HfoyKOGQsOeeiWWrq2JNb5prlLrXYIC/Dz
GEHFk03g7iLk/spg4CZlFkygmVz7zbyl+luW+ztDFs7KNl5FocLCwh4Q2Hugqmerrb5VwYI9YB0X
B9q3yHBnfB016jAkpFleGAdNLmfZ/7J3JstxG9vWfpUbdw4HEkh0gzupBtVXsRO7CYKUKfR9j6f/
P8hHxxQtS+HzT8/EYQdNoqqAyty591rfao6hZT5qakL/b0T/ocRPYMAF+M4xXsvAv+iTIVYIhGft
VmRv0Qe09zmks0MYltUpQcG2+/mj+lGozINqAjZCH4hcxIYV/X2JECHXHSqgp2e84ys92lfAGn5+
he+7HPxJuqEC+Azkl6+tDmYZ70sd3Zwyg/Am/5yY1OfmJWzDbVjcMELgSQCkQLqxE61/fk0M+d99
Af961fl9vyuw2iJuCqkrykkds1sDM/9i5F/YFR99Se1BLGy0bGzjwfR0fKloCrsBCUGS9bNIIcyX
WTU95op1DBvymOs0cBOnF692IK1VqkafTDvtV348HqxEPplePOxFAnGGpynL1+1kZWu7UMhvLjoA
eNk47trB0l/zDHIYfWd9HYbh54RndV2q5JCwAo+rhgSPZdc6t61Mpg3r4Scw7NqO1PerYGx+R1C0
ZVO6q6vKNese4psRbXU1UNaRSoWS9Fm2GadWXZaIPVZVb9BRD4ebmTiSIXTAoeNjV3fGAw/9l7Lu
idApwl0lYaP18m6YogepxnujYeZYzdrh0CNvJ2pAI5otfeQpOmg9esrR01Z6AntC92JWWfWhI/Yd
oXh6soNhk1X9mlR6nmB1HTd+uoS2uMojKBjFFJGQm3inAg0WSmTa1+a0tP3hNjAROwyFctc29Id1
nQy6yWo2SoHyEZ7KCwAepjzpdVnQrwcYzjx23xmMaTtDJ9HUZkVkuJONwXbwUAl1VXum6yARMCFK
r+Qb3mRsvzQLSkNu/EIeLWzYv3jcfvWMf5iH9cChO463yik6Zlf+WXHLQ3kPnnAHlPFos/UsP2v9
wtiLE+HEh59ffGZOvPMafHvU4TsJ+BJgnOYX9+5RF0Vgg5eVyqlYGYvsqC0LlwGbOCgPlgut69NF
WR4fujUwuu6FfyTn8agu9qHrnenNpb94Nd9vfH+8GB0MHYGdACjY/75/MaPap1KIKDgH5B7pCXLA
h6rb/vwdf79m/fUaH1ihoIIYBwRJwOb65lcAHq9//vd/+B4siGcWNpKZp/X9e0gHc1JwxrF5K1cl
5rvKoOb8Y4X6L8tMcMf/fvQNApyA7t+bvzbu59/7dnbX9N9mtTqnc5rtnF65Af9u3Eu47nTs0XHr
M3Kd/epfZ3dJSx+BORUXADIiZTRu67/O7nKmtghNMkk2OXbPx/r/j7O7pEVgk8YgpAOdF778949H
0xKybOVGf9Wqe5+AmvEmrzfvPpQfHN3/AOv+SXLhXTDiR2XrmIwiTACEH3ZNQe8viuK6uNJ78LM1
vaQa4GSgaxnbgVqVeFlyc4ivpzw07XMQBNYjbhctvrZVY1wGajpopJcUVHj5rgyGY+glazpZ6ymk
6dVO+nIckyuPZnqSK7uxdkiPzm8bFfbmGMBCKa2bIay33ghrKUgHNwsbsTJkuVeK/qLY8Wsyxi8K
+e5tUezIuX7EVox0KwwuPr1IW0t2VlCXpMdWX6rW2hRJ2HNyltYmLCXjc9CXi8bot2WHnogi8xOJ
Y6VeL3l7j76p7lS2Z6Aoxb4csjcSHegYDPTox/TNK0jbs9OCEbg6sKbXlQt/nMLS6ld2VuFD7DWM
Rpb6OtTZXpcQW4TMmJf4e0/TPlUDM28tbB7idKzpW/afa1PuR1llbhkVpywYoD6Vlk4Wj2csvby6
rUKS3i1JxhyH8VPq45Bvav066WGwcwJ+VCKdTBlrWDOxJg1ea75EVonSlmbwwirzqyyXB6uvJObL
MlwkcRltTXXAm0NBvByiFkhboXFUo5FIzTc9iDRHKY9IPm+VG6NXcPZqyV2fOgXSovhJKSu50JiQ
OgQfnZOmp/OoxHtwJigDRMns2vaPfvNZj3LXoWEZpr22lEOJGo+hiDeBJfNKm/OUL/aV3VarprM2
k2V8LkI8t/1YkacsP9tUPCs7Cr/YKVIpX9rTqmwctBLmFxn2S7UM38ISQbioo22gcdoV8MlyP71i
ovQqoog2jMQCACl5l4Qxfe6ucUN79uXrAFBl3fRrqajO0sjaK/ykn2hnEDSfNGDNg2r2Kdz6Q1Ou
cgssX+bhGpaceTrcXFD30Brb0a0GcB0nLvI3p3uIVdRZ4Wh+iSLn2RAcb4IeZKsOTHChMM06ZSnY
DZ9G8pJ15ZM/lreZNAqy9vSLn0DaC3LaUGIYnrsIvlbRl6TV9nweljU9xaYHvhcvWsfcTIredLtK
/RT7CZo0clQHhTidzm/QKitfGsV+UgAr0dIKlpYucKAMHh7ntUUqBFM9fYx3BV2UZN3LqvS2BZ+G
A0G6vDP8flrgkeMph2P2KYbouDOmIboy9f6uLDX8VMUb6SS7cKaKJHnxu2hKLAhMD3DmopyOezId
qpAyTjarxPQS1KH3mbMeNmMwRsc0R5uoKDdVGzmzay4pSaJPCUjoIB4q1pCvKqfIl3ViGAvku0tf
L4Dq6ie0ArASkUsrVr0s+G7OibvnOrceA9t4C9WhXLCslTgghJvSRe8CKkxbvswtL85uxBm3T37L
ZJE156bKxJokzZtc6Lueo/c4WitT8e8ZHz7VtoGLRz04Pekuln01psFpqht3wsxAoNzvCPMSVBrR
Kq6beE0S/TIutYVVVxwoUXRXRXe2AOxXZYwQAKoCjpgeRxCSzMhWGEQql7Gp7tPQideeVr/VxARq
5fCg1G9Gy5PYmZary4hBnwfRH8yB12PIZAigKGu1G617iw7SpiyhyUU+WcyGXTTFOdb1xzSX5PxO
ZO11mU+GVTTPgOJcFnQ9jUnfIKqolnbCzMvW0/u4rN2q6R/7PrmvS+UJfoJ+rbbGdMWGV7pVUr6U
GkiYSv998OxLOY1noH7+KktRLBvou1cMhW0mJEnoplPKEC21x5OfBreh77/iLFGWfdwmhwpRIMZJ
jvtehqdANsFTBphH6YO7MIRB5ejKvu3qx1bkE5JyPXW9meFc8PoWXcjes3Ri1oBWScxVTWbPRWls
5c6MkOePo9Ov/RnNybe8fvCcul3Jxkq3fJvtVZk0K2l23ZZeQ79BhZwTgZKPmz5TA5yLhI74De4M
5NbGtif+bIsv84o8sptaBvQAxCbqZrOl4hGQiV9oMsUdttHHSgy3vlGZO0e2jzksPPhOk3f++bY7
H3Y/bLqo7ex5x6UpT7b99zu7mbQFTfayvcptAonFJbLvTF61gfM1+hX390ORyQaP347iUsySAox2
Hw6odZ0PzTwNu7Lhj8X35egGyv3P386vLjH//N3BgEyZJOnbpL8q+GKS1LoIumdZ3P4HF3EcYMzU
VuQ/fbhIHRAfF2V9f6VXd2V+HBTyI3c/v8Rfbwsf1btLzGrEd++jQa3vCzn0VxIIXOlOKZys/pJZ
L9H4iyt9OEr9cVPeXWl+Je+ulASdkZqkjV+hG1qIjHmftm9TRLLrLt1P6fSL1sj3Msq5yEPdSZtQ
MoDQiSn6IAABHjVMVSN63LyPooHIYN75wWFMH79+fv89awhOfn9/1qBz+laFL8kPzhr83rezhuBA
McPSwXtQoZFx8edZQ5i/CWYoFosBSldwf/8+a+gcUHTdUin++UX0dawUf84JTcBOILjop5Fn+c+c
sz/oJOuwBBD86qxK87HjwzpB17bKBqUcT4OOm9MVMWlYp8KClfpFnWitUWqRSczurofw7ba5Gcc9
KrghYgUzZXzjaejhbegh20p01rjQTe0zIst6mTveC5EZt0zdU/hpoP7KydRc5FI+9a5an3LT/BIU
NjtuSr6jyOrQxeZEUlAdVoT69MzKUmEcocWlOyVLGsp9/GD0cE3csVHkV+eC3ji7iXPEoxgfkAVl
KySwo1sZVLNNCZMuIY5iSfoFrkscwmfZjfvYgFuYN96BmX/sxoqDeh5QAoIPDTwwWQujOzhWsNIb
tuGSGg9CrVWsyoEdEe4j6QhSeUpYvQtzyPZW0N4JM1ApdvBC4Lkolr4zKucqMj+TLTcTmC2xQXn7
ZYqiZ4wV0GBkJ9IdAEfvWMho/ISfyMMAGEAX1nHHB9Fb40/aE2UvXkvcv24Hj3dl1QldW5zwNJGd
zDmAxRFrs1eVvSwG9WiEWbMJAw2IetWax8qyru3Ej26pBXd9MN4pBaTrXGaQ/uz82jIxhpHmQfaS
Kgk6zTnFTTEeF6n28BbGWDmKAAWwNYKUfeoKH1OrqseHxhtFs/FTZaRMnqrKrC4B967T8DmfRkHN
vlB84fklmCS1d5a2o5BvZDslzl4oAMauaEbtTtHaJNzBTJ72QKSdSwg+p1zkk435hHhj3bs4+FDw
gcTOl0448VHDkiv8lBFkxz69+u/q9dX1P2+Vf796nUj4fWOk+NfVa/69b6uXpv5GPhBwdwe9IpC5
d6sXHgJ0CixSpkkSAyb/P1cvEyIAnQWL5e59KqRukKZnA313JOJGlI//iEZrfe1R/FlOGTMUT8wL
p63rNDgoc77fTdOCYJmR+cM51afOLQDLEcZqPVm2j3y7fdAalG3TNUSyjVaKtVba123jf/KSKV6O
aDqWhYxXZTaezCNoqs96H39KYU2tBCqbzVhlwIvAh404ZmBHbVU/mw3KuWvgdV4GXURKnSqelawr
XkVDuA+a9X4dydBzJ2BgfQjxxPOrPak42OZmfws+F/TNT5PSYFLCANOH5cuIIwbP/kuFQ2aYrTJm
M5yar+aZ2UZT4KdpWxrguIm6h1G1nwlNCw9ZIby16MGiqzhyKMef1dmiI/HqeLNpx7ShXuHi6XDz
ODQUSCe5RaSIGnxdzqYfRN2fsPQ/kS5Lsnz+UM/2IPK6UT7iLMQ6JIDNcSeAvoZn2U7LcvYYEXv5
e47piAyeEv5nf3ZC7Lh5qO0krCbOisGYIwy4nfvplls08RM88nLBS9wAlsW2gM8pmQ1PzVfr02yC
8iR+yNkW1ZkOZF6cUpGnHM3ZOpXPJiovnGWE0U2BLN+cbVZyNlwhYsMNkfxezVasRquLRVCpm2q2
aRn4tUbbgTODgUudrVxBpr81s7kLkjv3nmMrYtSFY6GAnI1gtWoeA9oPOQ6xwfRgfuIZ42B54SRx
JkNuZUaGJIk+OvZ+wOwTBJSB27eZDWjJbEXLZlMatH7cALNRLZkta8lsXgtnGxvBADxss7WtSScg
/NaLUSg7X8H81tba0lOVkZVxvO4tEwO/YMxZ6p9HqAVL2GI3mUijVcCdUwr9k5GDjKDPsFYt0z6W
itgldn4qIpoK6XAf1PUro49+JfpxziXAHphHbbQcK/yRcdTsuhGOBODfhzasCkIO8Y+HQXrtYaKm
0TFsU6Kv3MrH1j2NZs8Bc6cD7yHv1/7C/TjkRXGRVeDGproxRIK1PoDv1qHcGBP9NpqyZ0Q7B2rN
Uz4xiZyabO/VzVGl26SlSBIStdjZnf0a1f7OCfyNKaGim8yb+jq8LVqFTHqTWKaZei/fqAx2sepf
FDV7zurkkxlju0mm/ij16jDratsuBqwVD9dJ2m0GD/dka8Li6Ld42naiki4EGSJXg70vVeSxUIIL
Brh9rV6pxGa57VStPL957C0aPLWc3LBim2rZrcfJ2leOdmOExYFQpK2MYboxqW53UcccGZ6GD7Eg
K7rPdTjCt/S12zqvHzDzHyiJTm0gV4E/3mRqgqaBL32cBK7Zhw9+bG2AN2xTM7R3mAE3ZtcTYG01
Jz0jJtu29GsZ+TsqyetU6TwwISXIgmrXOeqjOjBQstUkWTlaewMiiYRoZDOIFMCGTelj2zCnaqEH
YozSMKgsWzs76Yn5TJLlpldguzlYeMPuKavabW2oX6YaI2cYauup9h5DaFX0OSYlS29oXI7LxO4T
De8ESIpx0PU9kk7kNGZywP55lA7xh00LVVE4kJeDi+wSAgSBgJMqdeo9HPShk7122FQXSpWcacJt
ytw5V0gLlrS83LRUxTo0xH0o2uOAvkiPlbPwottpvoW6bbwW7PB57a91rT8IX3kY1O7CKfesxgPB
onMLZuxfNIXpXlj4eCRLarOGe1EJfPetT8qAjdFD10+jgxa1CefcQjLAAFyualPc43rDOE2QVxCt
jFq57ojsWmryjlYgU9PpNUqs28lo/GNmlMVO9b2bgthQJVPJNYIlIifjWRTmxtK8hdR7Yxs1KGr6
atC2MS1kTfPf4pFJr5Xl6mG0xqMQmH0Fzm9XDTGClnA+eSiKpYYRhvAPdVun7WPdh7dlNh3H1r/z
qnqbKRMUgtkchsOF94z3N3loyqDbDfKKuIdVpELuj1CIN+mwMWR+6Rv/LlSnmtSzbqsw4G0me1fV
JhWk2Fa+w0cjLjR3Mw7p43XXarfxzJ5UibVY2fCdFp2Al6ebpzphv18nNYzLdduX4b2RhiRteqZ1
0DJvlkcknRuUeHvKyVqEdse3czoSGQ9pteItjWOxBWaxsfzMuUKUBYm0ISlkUkK0GB0takDEA877
9BWY6lqaWeSyw2D9xXO4KrQEHiWq4LzZwjkNV0MCfCTvnG4fgSXDfDt+yap6Z/AtJiqTsbqO2x+i
ymCvDUDbXe5rK3U0q5XF0NIVQY1ePo1MJrupj1i6KS5ZKZrHSFgQWYypUtzW7o3rus+mPcaBArxE
IumEdUwZaQJMyWoSyrHXqz2CjStoMa4cojUovvu09G78knZ2qXGeAbqpJXa7Bhj6CJEiWlo+RgpB
x6uLh02LcHmtN81rh/BYENUpPf3U9SObTLhCweQ2Hixmvb4rkG2sbCt4YWW9V/Vq6/XBRTWGNy/S
D+nEx+TgI+BBopOq6I/FZBysMEVdn+hL00pXdJddpUj3KA5Qg420y8zKu0QqBIU4v8GbFi6sdNrR
Zz0aQ7gVFVqxuNilDsPjXI1X4CV9qJT6tdOntw1N2y4f0aJk2V2GAAAdc3xA2bxTVYUcQrGkFNpo
Q7lrPGejxMHOt8qDXzQPWDsPCTBrKHJgNm3EbsXnGaIRxf714FEpjEaxnrxgDdVlaZTNWxo4RyXL
ljUP3UBnt3WSz6auoo5zsh35iTfV7NXX4OtzYEKAbm6DQb2tYwXOcAYJB+UmpnofvH3velhRHC+a
ZfG120Rim7baY2dLOqdicCGjEL6ojJQWhP5kgIrHJH7EtLn0heHDetVQojPebv0ETU107zjeRren
K7VDBopE/W7shatHxUOOlHelp5zJFBLjvCrvmLbgeiCS9dwb6tnz9Wd8m+Y6jIq19CxMoeHOCVXH
JVAQAt30VozkNRb06lnfm6Op8bD4eW+QvGuB4hwLsSZqzb7kRMFkEldfQj540KjXiYRTDHt3qfi6
W9cQhTwoCIuqVtNtMJpPRh+NkP1LAw7ecBwGu10pmDcHY7ouFPNJ0yLPLUJA9KgcFqrZunHdJcus
5l0ThbB15qWnRJnYAcna+hX2TKOITwU0VRgbNGq16lAIv1xpZo3vsko5ow01JSLBgZL/GmNwQF15
64dDsUkmTroWZo6xaZEtzru2IR8HwRctUpFWVANGznKUZxGH57iPlzKSAbO9qT4WXsXQZdAfND/x
9z0QVqdOnqDGye38dUezidY4YzePq05/sgMwnoW8Fv0QHh0dVo0odn6h3gHaWUy5AT+nbze+mq/U
ND6WvgrRh0Ad30i/tHaesJZra1+372JiesMG/ERnUmf2w7rWmsdRlDfOUAKeKqxzJPxzioshseR4
yIbovkycJznoNwjC84OhR9m69c3c1Rr5RAN95yACXEZkgG4yAPkHpRRujilnVcCj3kZJglAmK9gd
fZmq+u0gIo1jBIZ93ITJKLVoGeumstZE6IF1fXfi+8EYeO6d/nmAQujg0Fky0XSwxzvw3T4coLRQ
VQdNy8ILMJ5Flp1qsC2O/EUD90MT8l8XQSpMM3qO/PowaY49hNq0/sOLOtLGOamkRSnyrunvfv5e
5j7VX96LhSRfzs509aul/F1r1VNVh1OASuGufenzT4q+/8d/HzufwE+Hk06gMfz+sFk7I1xuM00u
Wc+DRtbkyz//+7bU+IT4oFC3fBC2YCcH92aU2KE4dxhXhnP8+d//0Hr+4za8+3w+vH70tyJQWEov
4E8U+BrCrayVRIT4lkR/dFT+Nm33B5eaZX8qvUn6lGD5vv+oyD5Bpz/l8UWNtkBNGoDN6cKXS7Zh
pfhFi3t+2R9u+3e35cN4QBVh2sFgSi6FvnRqKrolXy3W1LFz//Hn992FPrypzCIuHRDZ1wvp5Lqg
KQtc9pF5Ky5+8az94HvJyEZgEWF31DWN7u/7MYFuAItn480uNby/5KUb1ob3+edv5wdfl/eX+Pi4
TbVBrWSo2SWzXyLvSSr/weNMSxtJjCM0Wt8fvvVg94xGwgq9QH1HwblIxv9g8UKEo5o63R+NrvIH
FVWmkG/XmCK/TNZLb51bnGlq84u160dPMg+xZTBCIW137nG9vxFOkBbZCN3rUlH4jUubFrRxDZk2
L1awGX9+R35wLaAXGgmnFqZA+k/fXwsUKk02YE90VKlJ1mhECWezykVOjXXz9VL/HdjMSq6/b3nu
svEHXJT5d761O4WBqQtNmIV9y/qLqYsUdXqg3AY2zHlO8s3UZTHhgRJtmWgkdaAq/OjbsGbueCKx
YmHXsHTR8vwnwjAqyO9WO+LYVcdB/Thjn5noGfqHRVwPEiqvzmrOaWzigckTTkh5inzmetS6CbJU
6ATeZCL17tQAgHgX92tDNJoAKA5cpF/KMcQuWNqkTV0IcuDJp+HVGyRCisEsWxQFSaBvhIWghWGA
TMIafJ1H72OleE6eYRA1W3llta1TZStLLTp5GAyjJ89HKGVUv2DLqKYJULxn1fhzkH7DlRDQIzdR
XTinoFQ5JQwUdmXfy08lgIbYhsZetriKFjKOUFOVfXcIR5CQsEmzs5XE7Y0w4/5VzQyjIC8j8F87
WQ1uQr17DM04R72Te+dIMaRLdkIAQ1NglbR7fbzm7O3toKD1J9zcPW3NrllVcDjzHsIqfC2terFD
iMdJA34Lf4pB7oARNXdIkcF1BZlB/F3ibLog6RE9EfWOCXaTKJJib1Ip3GdQadKqg6TcRIlvNA30
S1Mdz5VaRW5MuL0rC0FxVdfkaaA401+5Tc229FRg7qIg293BqvWsT8V0FUw45xex1mqvMbIYTpb0
ykY8W4+6UdOWZum4ygq0GhPu3Evbxp/5SLNd6ZjiVtShipxaJQgaKIazMKw8OI9p7GPxMsKzEdb1
xnFoHpLDaZ+nEnFEWiJRJ6kUey0M6c9QupIjfP36vk3z1q2diOMYIVYniroEcmgAvGR04MMIvGTX
aKAUl3FPfaWHSLABZ+UH1uruUNfxHoTdRNa3YrulMQ5fevIMt3aR+vshh2lB99lScMbTh0mhMOQ4
KQB5Ng1Tq3K0s03hA/eUBJcsBgM99mLSHG+fVIp5j5LrAQe2dtQUu7jw8j1XiUlor3MNxl9VqZdx
Csgrt/to54dg23J8HCiMivEmqGiNdnVfrsewHWD2TJ5bl3Xt/1H6/HdlldQ7f7+y3ubJy48Q0vNv
fVtbZ+YUAxth0mHDMjrvpf8W3cKcmuFRlmQ3JxqHH31bW0ky4n9FyfBt3f1zbbV/U3Wsj/PkR5tH
Tf8IIY0w4sPaij1t9qngmSVaXGOs9f3+K+00qmSrjRe78asrC2rsTQhp7zFPpLYf+xgrjWgs1246
9dSPhbfgm4wwEVzqveX0AFDVPNmQZR3CCc69taU0FZj0MoDao56TJHCI3BHe0TCc6lqHVb3oOoav
q3YisIRAuWGr2M5+0KZygXYMn1+hx5/hR2Qb1C8eTa0JxHtRD89pEPj7vJyHEXPajYb8alETqEKr
f7x3NPrGif4yeqm1bxESuCCH+0MW52SRYSddktXoLYdEvcT00cFhxrBzzBLlLysCRRayV2fmyKhf
mTI2dJliFL28biDOlNPkfwH99xTMMBo4eUu0gvuIpCQ6HwBrNGjNy4bR35Uv/EcVqk3Y6hULYHZt
zMCbUG2UTTNDcKYZh0Nun7VO2I3YOeodPhigOQFJdHGSyXU3I3VMRKuL0PDB7KSQrby8u54qlsgi
ATrVKgZZpoZBU4n4Is13zpFONF838ukoM84HoJC+SmfET11r9mqcsT8l/J9Wi57LGQiUJk0G3tGM
1sJHq+mXWAq9jhum9KICORqrrmeKbSQVgiDJ8R2MbpM2SD6xwRQvlM/RaWjkmxKT9luqgCNTtOMr
hv5kxvq3aM+vU8vXF/EwbLQuudeivnFooDfhotKSS1eKq1yjy+fXBP3p4a5Q1M2gwfilc7P2Cq6D
RbkAAyX9U10bBT6fFPy0eDOMeX02+9suwEBcM0efU//kIk3Vi+U72yzNN51uHKPBORW9uglES6s/
8QUeOvNq9CIXrPklncKGaIbUdRgbLiZjPBnYiYtY+WTrBm3PQR5Mr+UnLXhcrYIYLEqgQ/ZnIibR
M4yfSgdJx+AVTMcKRA34bcf0XMZGXi8p19vPVCXVEj0KQyNYWWAQs4JvRRrGR2GWVbtoxyTfFw4D
V0tUw9Gnvbf7b5n7dbIvf+qBuH3Jmpf/WbxUry8Vp7a3rGFss/v9//73X+yjd0YIgudUzZLz4slY
nqXv3Zqs/ga/SKU9ZGhEvr0XJxm/ISo0GP6bzrcq+Vu9i27J1EwsEjNV76te4B8YIb4/o87zfQOT
q0bMLKu/w9bw/YqsB0LpmzGV5yB9nurzMDy926Ou/ugS/A+ouyvs2E39f/9L9+bjmg9lic4eFhBy
WQzD+nC+a5l+0nof2jMTiLWmFV/GQp4TL7qh8vjSVIKMuooOvSTtTijZDpbYtiqjdWtR0pmKyReB
kXVmAR+s1buoDVyKjd8VJqH4l4+tASIFMXG/mILkIjphQC/pmhJNeFozzB3AA/t8iDD5ynQktnac
6kWvGrshqL0v9JApvdLAXI1NSKeGAKXfQQN4hOjR3pAsaYtK9ZXHKMGC4MTyMzneqdsIy18Sq1oe
xKxh9YV9sQpLWSd29egw3V1zWAeRK2V/FQ1IfXQtb1yBF2SB4OHQVeEzMdZH9GLUpenIzBuWX5Ll
W/BuE5VzeecZyUafQtx4LG3ow+AY9hwe5EBuuXJpBnAuNYMKt5X2ilHArRVBIGX2q5fOc6wq26xo
9w0ei6XRjtdDjAl7IvbDZyBLisi+tKwXT3T9orEiqAnKqo3Dl6b2SNCyJB4Ve4um6aJM/HrWE9Sp
PdWxvwfzSjVrHGVGz7vSulOiTysTF2RVlFtzLPE6SOc+CqdmS+TJVeXlBKRPwaEJ4UCXWoN2NdrL
uSmZiHihTTqglUnehnrGGbwegnVrh7sRRTulK/J1LzI3OBTqBVq451Y6a6LMl9wLmDNZw2zMz/bI
LhlVdA8y1+GeG2ezRoDeTJc4lDdB6hFI5aUbS3anoK92+dhzJoqg9CL0YBSzBX5whN9wS3ODdTVK
HgD33gvPwkzaunll7u3JcJWheiYtgOl2w/BFr59y3jxL8EDM6PQ7icfr0QqWpOmu9Hg4koQFp670
oSqOJMw2mKzRMjBnNq1nvgVuFEZPvgf3eaibyFXalsem/DLm0daeMyH04rmt1CdFYehioXeIvWjV
DbD6jOR1ir3rOCVNLhj9YxxV8YbtFK+JYt0FlAYl8HDChskxVdP01REpAxNSbtY2ppCTPZtowtCc
VkqBOsQwbyNHPrZFjQVbQ6aQFPO3J+pvVUHnvAXTrJW4RI0ShIcijJvBZljYjujRyVybE4z1eu0k
BdhtdDjrvjbPfqMxgjHMe+pP5kKlZ79WTgPRWXBEWnSFiS05rTo4BemoeOA+wi48D1XIYaRgwOPw
UWAzKfxlpcxjV/JuVuSAVZz6FKiiE9G6WePFN7k9105pqx4KkyN1MGroD6tD04AwlUW9y1qGwwBA
OPRpZb1Fqhut/bA9mhznF3VcYI+fjI03TM56GjSxwKNbrPOmzDUC3pKLlaiEz5Mfcj11vGPPKz4b
03hfefqLFZdb1rdTFIh06QhFWY2JcvRiTYXATqRFbBrDskny9DY3qJkWgsyKhzbObvqOGCYIdbjj
8TkxeAUrvqL10a7yIjtYpcWCKHjRVn+dtXiJCgsNaD7ufXwlCclQURcti6k5JpGyCYzghOThgVEM
gXjqvndIOsuG+FlGTDbrsGGo5ZkH0QAT8GRovRa9oi0J/J5DRMo+vYtF2rv4Aja6lWOgnzDxosqJ
sZOF1Wmy47OuFdvYqa9FiVAmYVQ2pATITb2xYsnbacJrGd+Y1S4ZGUgrxR2S0iUCxjZZ1RXoj7EH
msqa0+571cyfs9k9NIQKRmWkm2NLiiiXw9ZcmPICUKkiJSG28BhEQbfJZDpuWPqDB6/kCogX77KU
FjDNSWffjlUEAs0/Z/jTl4ml27s2ZlQoc+vOKHOsx0y0SOnTsOqM0vNcIy7vTG+8s4GfPk5eRpBE
m9eu0fpiYSGQaDg4bwoV5RIUmXyZ8IuLqjPaxypMbHewxxCIf9gH7EqcEmQHiyruC1e302o1pvnT
DMNDNeAO1rhu65ypi7WPy/GTGkTrjtQmqrXgU5tod3ZbOgBYhm6XK1G1yr2ENNYW3CdD6CdkdwRb
DLJ8bE0yXoocbXoc8KBbYVvgedIftTk4z9OM4f+xdyZLkZvr1r6XM5dDfTM4Eyml7CAz6aqgJgqK
AvV9r6v/H+HtMpXFhvD5p94DR2xjUKakr3vftZ7lmZ1g4WQRJ/fj5fm3KjhHQR32PfLD5eC4aKDf
Fl/lLEOwHMT5oSUuQhsxO+vD1VA33seXQXV41kJ4vc5S5V08zr9vAlpjplASgsaDAdLo8h2zEsqF
7BvTZW0Pk7W00tNNP5ZeaiabRg6J+5CRC+d7ZqoLDV5qbCVXZJhf6xxzlLBzOqu188B/LjodKgND
QJ2h/ogB27Wfh+x3NjDvfnIYwwaFdo26EpXMt3dIy7oiaq0kPwxs4YPpVoxxxBefNI6s3wvThOAp
BCzRy8Etapw9h6ZLMEYmXX8ogxDYka5ulYKJQfSxGsV9z2FF6O+FMi2ucqAtkyVuB3NYNHMlE5WC
hjnO8J7M3VUXKtYN1D+nK2CYw6BllMBD0Eg2R34QHCIh2o0+AplBZtzoGQG0E2DAa/RmjwnpIgSE
R+t5AJvbSKCWcP4BAVCehFr2YDqRr6QgS5loSDhFhZKQoFR4vyVbm1CH1SI/R6rxOFLx7JYMp9FI
L1F7gfcwJmEjSkN8KYb0qeaxC9k3gQUJrdhYSVHwxe+k7LYaNNYPKbjQMrQ8jV62nE+hERQscUs7
e4qJ5ixF+UjrEPzNjAVTUtILX3zsVK8jGo158cEU0JgZg7SZYvUhVerQzaE3ExFZE10rrmaVrcfI
MFuhRipWo5Bt6hYmSCaNu07sH5NIDp+mVFuLepWRRRleQuXDjtZUHuoRoMTyeJ3pegpqSbJhhIz7
ymguP37npHffBwYktRIN+Ax4sV/fOl8RCtBAWnswJPlRsZpsNZd9etA5xtvMp9+ChnN4jkZf0glk
iUhnZUa95K5gQAyB6chBc9mSXDrM8qVWmPeKmodek2mV14GO2mYaiJAAV6dNQsFSGlGzjcyiviJy
aNEqCexHmIhQFuZOpKEzyCDmovQpWA06xKVIyXP4eno2P9WF/gitXHN6qTCQAMl3ujyxd54C1P3S
Si+AIteaAAhs0O9jU0eUL//QjXGxaDINWClpL+MtkOYLo6+dqlBuYDzzhpCYM8k3Wk9SbRzeUEy9
zgxrrU/tvUlkASjsQnSppi86qd5tuqF3TI16swLaSfRJjSHe91HgnXBKS3mQFOFeCvsKFdusuKEh
ev0sjKCmC4yq9VoE/2hRy5SBIrEardQEgIVpDnuD1MMBrCXLPJyjtL1VhvJgmeO2KaZHZRCfKqV+
zA3dJVn4MsG3QDfgWGDVNnLdGwqEigb6zgjYuWxFV0kpJFtaXW7RTK6e+qusXIpBesC5hMHYC9YV
1KaXyBB8XAGio3aAvFu8k5gxVjKZLxT+LvQGDhp0SarhQeZioIM2zQ416YgNRLGcSANUNFjlQnRC
wUWQFSqJRNhnrOLhAD5RSvEaNB5hh7m1VYmIklg1U39AH4W0qs5K/IJVjJZJWNO82M8kNBsWxuRB
CganEZl0Z9LEY+Cd2mCeyKPYBDmkqaG6yE2NXW+bCkiuhnIzpcZODQgvXpS2WoGQUikj2Ng0rMNy
uBQaTgkp4XFK5hagVlEmn3TNNcCZAR/Hrq4TWKVufKP/WooCdnHxUtdwEI++egF2CtGX7/v7TibO
u4G+Thwm/KOhn1cl+4ZNMbXNCkn2pu7ZhRjFYszycYD5tfTJ0vbezP1mpJ43eeXQmmKrTLoDqeDk
I10Sc+SMfWb7wzGpLyVOLB/PDb834w3r7fXOjtMykeycLpgZiuJZMn70I3TTizy4H9TNxxdaOIln
bX9MUWg90K5QslWXbIO3K9/QtH2FBnI8zBJB6XjL6fv78q3WBMU2LFAZJGO/L8tItPH8SpdmBUlN
j4kcBZYtugN/10GW86KK5tWYK4RMK90XISqO+AduUrZvnHqw4ctLJsa4yglHzdroW45JU6AFdx10
pHxoYdiusR/vNbRmbCzcSRJpsPn+Om8V46slWzcl+kEqKbtOabeRIu9nUHhaaR2HJNjXLNsGerpE
huEOA1kITWcspa9ZWbtR6m+HEoRZCoKg1bLHWZyg1Q/BQzVaNYIov3XlRgk+uau/1lsWOdCvN/Ws
Ap7oKhA63xwP5vgtnL9P5ieyhs/+/tnCIQowlnWgRofIvCljQsyVu09ei4/fCv3s/cv0LBETOZgO
mnyKyEblNolwZD++yHIXflWcLHcJby1bUoQ6+tmrNxrNQKoa34Igc7l9aoeMPcldNBqfPI1Xlcff
F3otf4Hv1CSWWoutqXR2oSmO8iGYS/nANuaJRW11m3r+SnB7O3K+2rn9dYtE7eL7deSEX0b3Ec3L
d0Z0s1G2H39heamz/f1B/nwv3gzrczmKhcOOtiPTSOv1K8Cc7njTrbOr0LNcmPy1J625zx6cYxu8
tQtuv3fVQ/708ad4VYycf4q3Q/6s9536TWrKNff9ftzKLkw5zzoZ9rFR7XC1/qo5F/oqW1uH0Bs3
ELk2t6SZrccN8549rwvLblaUzlbWSrjoNvm6OYaw/Oxg9YUmyEF0yCHeWttij4vxLvNuPv7oymcv
/tkOWpCbKIUnyHtpF3bpNc+lV95KK1xyK38VriIXxOSuWJ+eLtxuSyjY6MQ7/Hm7+BA4LD4uqNIf
vvPl40/1O8Ls1+H+KjZ4o5jDpt/Xhs6nCreWHTrzBuzpLSHriVOQTWf7NsYhO12bh2ojf6OQ5n58
/eX1/f15/j2OzmYbphpCKcppPIhz4RrDsJ+FhDBA8CsfX2eZVT66ztmsA8Zb6fsZMxN7arsfnsRx
M+jfJ8WtRGwMpffx1d5/1D+/1XlFWSDqExVf3B1CI+Hkd10GV/9/Fzg78ymjiUAfN9gh0fZyTB3Q
MlYfX+GTB3MuRBKy0swNVLyHAhBHlnilfD935idP5bP7dDa5NVLaxL0Rt8RG81Tm1LHGfy4Q+2Wi
Ns5esK6Ymy5vsukw9CMYQDQzozNnp49v1idvl3E2K+l+IEwU51gNRt1RLTQ3aXtUkJMb8H/iQT70
RAh/fMl3nw/wcFRIyETxUvLCvxm3tNEVv4za7qCSRYjKREGYrq8/vsa7j+fNNc4GTRoQ/lWF6njQ
YpX6/VWWfVJV+OwCZ1PinGQjCKGqP4hM2hSjE1huH3+F1/Xxo4G/LGtv7lNIdJLsp7zHnA1s0m92
/Sa55Ijg7JC8uMERtdMncDrlk7dBX771m0tK1P9QW4WsUfcUhvHaOJi6bSKjHqWLedvbp9kp+YGt
ucSX2uaVYF+37rKqnx6qk7Lj1B7asTu19iZ3wvVnH+/dhfzt1uX8zYnqQcRr1R6k47KQC3azTtVt
Ljl2slZXX3N7J9rT/kX8zuGsvpv2AJs+mb1eVZkfPZSz594LjR5W1sReYtWv5hUYDFm3rX26urYO
+oWy7lYPsufbORVbj1iNNSiaT2bozz6CsTQF3zwkyEGCmg9lexD2xBGB1LTjH5oHRXrfPY+b0s0u
jDUkm5fgQXHGdXIMVvHzx6/m68Hrg7twDmdJSCBRCRpHJ+aNHqJSO1p2ddvEucXhtd3iP7LnA9l9
X7HhrjKvXBsnohdXnQsS3Q6/fcaXVJaN8W+f5+/hrp3dElOw6A3lTCmVq671tZ6uRm/25otoL9lP
mIq9xDG35Yai3sXoGHcueZ08onadeDfRatkk/Gdz8K+OSmIW+lniXT3SqP+zP394zJ7/93/2z3X+
e8d++Z2/VFRL7ADnDg5Ki0r4VYb6U0Ul/oF5QILmIb7mEbEz+EtFhQz1lSfIisHWxFiQgn917FUU
qljoRTTOHGdo2f8Therr3uDvF2k5s4A2AhFqIgIwqKWfvUiGVAYkls3UBhujsZMeQD/dMFj0RqVa
a6M3Hxs/GLyq1EJXmma0NbusMTuCn41Ijh8imYDoY+gXXbVVowYiKx7mQXRLQeuMU6nW9XBi6B7Q
RkW3Aig+Nq7KbHhxMzfwLsL4m0IgwdWUTwE9FB/da0AbnLZevkhlZXUOvfZV9VctBeOt6gtZTE+8
NdLmgVZ7TGVvTGdMtCul05uo8eR8jKRdlmFnuAlmuBgABv0lP6kI6rUFchrLHCm0Y0++CvqqGBvc
VLlD5UvrPtEldxireS0mev0FsVgn0cKa9NlVGjz9q0m25tFNO0WvAK74AuGpaimQpl3O+mU3NSH+
f7nQbyJdr8kaMUoscPnUgIkOk/aGBbO2XF0t0+Mo66G8rgz+/xQ0xf08qFZsl1VAN5ZycmFsq1RS
RPf1zfx3iEqs2h8M0SgPmnfGKL/0c4xaf+B70BiLEHN/G6Mc5DEtoDJHZcjW7q8hqhMYxv/QIOrU
FJZx+HOIvmIzwGksPgoDXtA/EpG/tmt+HaKLxtIULVHV8VCqZ9siyVdagvIM7RDOglLfyYRAESiT
T5m0CkOhw9QeN3J02ZgJBlMYoNVaHNIrUcBfQx59Ro722EZOa4g+zRZTb6ptVtSs5AaaM1orDQOq
afzdoKRDCLuvmJOrIku+lkN2rUvht3FAcEEj7jDpWI/VXIMZaozYgqvwO4VY3ZZFkhsAI4X2JAro
Fbs1sM6EYB58hYPS3ISSf4/uuQz3BSrFaZWGWTB+wc1MC5+M6XWv1UlZrEL+qu4U3dTml6ow6ZsJ
Kke04DnYFA6uuCA7/AXeQffpW7DgPFo98x2pzL1mhEFZwPwgi2EDGL21R2gg2HFjtN/o1UiQvosg
hsiXuEMuCygiI3tyAJiARfzUv5UgjWS0ACzII/F8JcEhGfrmKwIEVyU93vqzI/PvQFwKTf99IJ7S
x6fn+veRuPzWXyMRfA2WDVX7D6Jm0fT+XC3B+WLVUMFIUz4G6Pv3ULQIs2WEAryxMP2IJPH8HIrm
H4ZE2A2qNBkh88Ll+gf6Nrwhv+y7WC6X+h7HEFZnyHbq677szVa0n4ZeRTE7IJxCxam2pMb007VR
9L0LlPGYSVX8RPR3DnxUuVVaJXZ6RfBvMAi/CKHoAdlR7VmhlxaYlSvmKWZ7A1c9VdzvdUDY55gi
VcEMfq1aabAW0SXThiC7LyOlIiyN750S3ej9/DXESYWBve1suVSdkdiIDcyrnbIIOzODpCvFyr05
lW+41mpoJTajQ0ffp5soUptgRjCdXLaJdYe3EShFEvyIG5wIeHZFdTyGQbOBgkVyGegBORRFT6Um
A/KwP40yQAcscLptyPBQM1QufiAjLKscperirahisKYUvpFC/MdWuyT1wpZwu6lUXCXx13ry2l/M
LGK51FukPSiArVWnKC69edGuai2CUTttZylWnTYPTSR38xfN+pER1lfLI9LabGf07T0JJxFRc7g4
VAVhXjf58El6esHaOD33YrHtJcMzFCiHlhh+CSQ67pYpQMvAQo7tmY7lvIll4zhExsFQAyco6i+F
oH0H37M3ioSNAZo0xXCqRtoSeXElT6BWAk2/NrlDfkT8iVDU3pCmh1q1rvVI/J6MM+k18OFsTURe
ZRnDXSarDzEGUbk0kFr3ueqVndTY1mjsJWCSQgqHQJ9FwnwJAR7ymKw8/64cIaV1wj6oSZlr0vRZ
FZiGe+G2VEBwhOM18WWeqAv3nRA/pVjQbI2WoVOXgWHPCyQCCcqLMU03YidENvu4Sx7TxUBzvKIF
6asvwC1gnvJ1hm72SqNo2GlFNwXzrR6jzRYDCMAxffc6L74puf6gkF3CgjM+qt3A+yUBd4F7jHa7
LcjpS3+Qm/fVqhWwvkSFSKmOkH0CPNf+6AVAr3KoLH2edRBFtHP86kTbpQUN148rAzONTVkxXgkh
FatJMfEEWsmXuOUmzTnRklrYIMbI5OtWL12rzDYTgFTLbdq83LExDQ5yV3wZmwcSQRTG3ANtH4QM
lbgJA9gJc6veFdUUXk1DbW19gjfswmjGtdoDxhC7QXW6SuL83oXgHITyBc4Skm+E021+5Yd+PLlt
llTzXa8VUWJr/WjStA/8RL0BQgwoCEP/l0iNiVCUuhsR6YPtw/odYQmvrAF4Enr8lZFb66kcmpUA
1HLVDnW6wxJvuBkx1BArlIei12IXHwLquZBXOh9anVJ3Ta9cUxwhylaBaY03ZjnqSz7ycQznHzIt
SMJvzRWLnScOHbJLkphm4rDcnHyqVUIkChjjw6iq9NcjZxbNr5GWeyB6fbSEIG5aGlwEQNXgK9Kx
OKVR5xEO2Dqz0IAOgtAk9O1ODXNSOpLxLlHZ1U6KREgOMUxxfRqr7s5KENeiBXACf/gONftLUSj3
mWjA0/aplKcK+A8sCAtO54sWIqcrZuLAoYYcBr+37HwgJjcJ0wtxmNf8W5mslyXSqtUeoB6UCAcF
t1aSl2mu7srY+FJW0WVaq99JpCSSIzOOekt4aFeICNJCxVYq1LFTGwiO6EvfxTG+Ru9zwcOrbCvG
itEmxl3Wo1SdUxIfaTeHLsyEFWR/dUWPlJpCAl+6ZTBNDD1jXuKm5G0T9Jzzw/aa6KFtJ0s7UTL2
ftdeJBoAaWj0oMEGHRp5n1kAFzNsDgaARBV5JRDX9lngaOUVVkXvvbMiuyzFQ+5btITSbtrIEDfm
wH8UpuwiTOY7YVJk3FrTk0Cv9GYqx9GpBxBJjQrze7IWkUn1NGAJh9QDJbHI8jsY2vuwLJ8iEjKc
QBaz2zFH3JzLdwZRl45f8jRSw/emLhFXpm8ybQxbIyt9UrE6aNOsDmX7ZMnIf5os5V0DbjNowJ8C
od7VokQmjZgGuUsAeuM1fttYJKg1rfHvjug/2YUcGP77jujiMaEQda73X+qiP/dD8h8LKg8H5OJq
xj71Zj+k/EE1gSOGgsOUPRE/+utoYv2hLU5rg0h0xcKizB/8q3pg/qFjb+Wob7Bjes0z/Cf7obP6
6bIf4lRkEeYj8n0JyDgrO1uKzDm1yrVj0qdkqAdAdm7GMcnpPslRsh7YzsF5YXWln78KSB/cqjWY
+EXYukl8WGPZJIPTHZj0aZ6bojd2E0GyS5y6Qq66uQSsD0vUeoJIW2CpuzSWGHb8UOiFAtiZbeJZ
s/msxehq2J0FK/81x10nqy4fhz1h9Z5gAh6hWNFdt32zlftR/5aOZDw1cYgUXOKMIBabGbz5IAfX
lUTop6hP86qRYbHnWb1pZ+lgNdaz4XdXkWIe0bpuoUXfROg+haK5FwKz3Oc+2eehta1DNdoi5b9P
28AxhfAmk7W7IDJHm6Yx2tJEKfF+Bg94L7esdmT1+A+KRbR1qDB99RU9z7Yf1k0Y8ZlVA50CXPu6
Lg10J9a+UuCfJbW8T5r0UJHKaJMuTqKc+khk7bGd85d2EU6w7XLmYiDy3C93mZEYTgafSbPMxZVm
4/9nTzTngZvI8Z1RgnFSjGk3+8K9WS9LpQousY23XYBDHz3azLmIg6FJujwYQ0Q2Q7HBb/uQULPB
VYoeUCETC+DV7ARl+NRkSK+A4WirXJrWOhJBmhPKOjPlA7wXmd1oSge1rr+Ufqi6Sv3CZkHc6Ilu
uXBIYbtCSaSS9iKMsIaQQByrtKtsdMW50xvVrVmbwoWA0otUw6uUjarV1z2E1oJsotJwtGVfMorB
9G2CEGUG6g8DL+6ifbbINZ4f1LrcaYEK6We+qgCYwyd9GCDXoMoPX4xMRSc0JJZbNjHMmGmTNKNl
16pEa6gbnkcTtwQydlCnZeDFcvc0hTUuYU3xjD4BAyjx87gua0+O9OY7LDj5Arc16NWsG4N1S6xH
uhpA3a35/vommySsFL4WdeDms3qiRW4a0IFAWfGkZDYOLrG6cLOWOz7n7EAivyWouI08izyaiSBM
tOUcrMPN1IvHmcFwNZmxQVaUCRsMSzJIMnmnKLHiqAHrU8XvzFEpHOMAM4gxioWr8LaRZ1OhY0yk
ScQ5EI1bkgvYU1ZFtDPNcaYKqA1uAR4RYSYZhGLfe6izn0yAf1WPjY5J6lLpoO2wnbuaGiNYNWl8
qHQS02TpK6b16aaWSDbLpVhhWc/wIIOMk/y6dE0SHu1aVxKX3CabsxVH9xxxpoIF3TZpp60zGVeJ
kYvgtwckrZmqumOAPAAk1GUi925ikbnQQeNFOk4YgRw13+tuSRwuZURC9TbXO2UxouwEbHI7KUhN
5PKxhI8wr7/JVDltLQfuTrSWbqtL6SAPjXQVZXUJmCvNnLmdUeZJ8n2cZb5nkdIKPG4w1/mMpSFJ
0HYWWYuHRohFKohVgV9geb6+jjJV9feVFa7TYTiwh4idYSYgEzdpOPCtRYEeRlDspQkNXobypbBA
bZK/hovIQloULvJ9CGVKS7O1xMxNlubkZTk6Di1C+R4DhCxMbW8GmP6GUlxHWvIg9vW6E5qbOWHf
kqYcczCsADlLLpuuDtgGsAOLjHrtl+VG75qXQPHJgWTxWJUCAZISWQkyJo/sNmvi9MIK+1POHcWO
E1luVqD0DdhaY7j/SjHIG9Ry3/nm81jIEgkU2Q7rFFZtiaRUXb35t3j5ag2UWbf/+w7h8jn/UTxF
71m1l198s02gio/CF+efTnDf222CimNwCSVCl8Th26KF+J9twmsIEqlCECpe65fL4v73NgGt8M/Y
pH+wRdD0X0smpiaKmoJl0aROigXRWnojb7t3BguhmcmBcJSE1OlaVJuiOj/DyQtsNtG63SkiiN7Y
q6cgS9fgwuprq86EK9noBQVSX5Eb10FgERlnMVRWXSPVX30zMqYnTTBxxFJnsCGyqmuItoxD2ZzX
QYOVrlEtdW2YIhX1ZbxSAx3dvhQsr2YwA/ASn4KK8V3J2ASKZcwPHbNPv8wDbcF/qyxzA9aQ+lv5
Ol8sM8cc9tpuyI1dHJMsBGUQsGEGD4wJp5O772QsiXa/zEXpMiulTE8m09S0zFeZobkhFrODucxl
WR0HrrXMb/XE4koCOWexhCw7kg1shb2+C6mUVusyR86Eg3Lga05xkxOKPrWIbpc5VZK+Rip+nAYZ
DofBcKUz/WIDzzEJSpeTGJOLNETUN0rYpwOMYdxqapu2trnM58Yys7fwzXf562y/zPvJ1Ihu87oY
1D4Lm7msEH0JM5bHIhzJK5psjYUkbrHJtSB6q2WNSfpivJqXdSdHZnc1shRhWQk31rI6+a8LVTLP
kYfTiV2So+Qk6sTLklYvi9v8us6NI/bD5nX1i0MqwYDiSv8G2X+57uO4FF1e7Hyb1z2O7oZ1ydcF
8zJS4ZjY+OMvEzJJYKhKVedfSV34kIbY/sJcfwxq1PgDJHaX8K6HRGoD12/LF9HKMqcVgovUh4pr
xoAdyUCF35O9hLO2IhqxPeJjnZwML66j1iame4pkHIr1bd1Xxk7WSsnpwfaFMVM5zpe1GvIPqzYd
adQoZajT0uvCezPwAVq5o95Q94OsXvbwhHfQrNmNKKly0l5jvDiGByIWKQ78MgbJVRkDGKTwLK46
XrRjXxAyVFdatdfVolgJBT5WemlU8uZuDWPmW9oTfi2OEsbIsdkNY6ZgQw8kT1N988A+2xMy64cs
NBd6nF0VXXfnC8plU3JGtGWhPExI3bby0rQKinkjaPg4slZLsaf4vmuaz60w7qOUEFTVuJhCyARG
HK6rEd05hGe+89GccmwWmH57Ya9J0UUWmoETdZp/mZtls8r0UvG6MLgJpzHA059u6xhtR8VDMkNj
Vw4RQaAx7kY5MR+DbmAE6tFx7AvSnLCo2ELbZw5QegwK6dZqNdes68esNu2BhGAWwRfdiJhaMq+m
tUhijSP2TUEMsnhdNrhOy3hr9CpBQqMzSC1Zny1ZmMOY3plgFWS1uyPNyZzsxCr0ow+Bb+eb80tZ
Sdfa3G0NmJxKlrlwvhUIM+Me+4GDi+Yx1JW1XmMXCAIihTTz1ODRMwv5h0X1hcIoFGtrulYFuNNZ
VV5O1Qz8RHVKnjEhrmxtJYT1We/0s0jlx8+e5mm6HZb3UUriLR64E4zqY0YKGHv8rT8WGyMD1x1w
+VRD4JOPh6maHJlc49yHGAnKlQbRmnikDUAPJyup5jWjJ2hY+EgieNJNDDdCuRHYbSYhbtOygIss
mm4uUrRrOUvEXXCSWzY/fbAZISNkhXBBBdib0uix6oBcoceqGCKyCggbrzUFecdv0+c6fS7wUo0t
hgdTpEIHBnLI77XKWDUzHByVa7Q1Smv5iNjlpml1T+21lRaM1+po3abxjHs5ZfNTDOI6U3Hi+kAm
SXSCiiN6pgWikuxFZjhvIoiqCYGkmmzLgybcKtK0wbt7L0rtbtbMG10v782wuQ4oXHfZj3wqnyuR
xJ4U3qihRB5xD5QxplUSqG5IDFKghFe4ei6LXrmW/exFgvUu16ItEmaBrW4jWP3GbARPDNObGB58
q0l3NZ/UIOTI1oGiYqXaN2LnMRQPjWV6ktLsFB8o81i5uGqR7+fNqqhwEKuq/DR0xT1/SvVGulJT
o8KIiEOiIsLBmfLhsckbJzeFPRkS21kwiKXH6NCDMgvJb7DDkrKaFU6J3enGWm77rzgqv7UcGafS
2AJLccuQo1vR1hvcE1txzHDYaBY5zv39UItfizq+LgRp7aujF/kd985y0ZBsjFbj7TTow/VXtN33
JdnLvdDdpJGxMUf/6CvzFkvljnrlZVjgPc07oqbS6UTExJYBhvfGvIpr64Jd/UOJFGWqCViVLejt
tX7V1M0xb7RrDkCiDXTpptO0VV8WZCzPnZ1r6UWqBSCAKhGSb3BZLxPVXNxPSbuXa21dlrjP2sGJ
KRY2w9Iryvd+md/V5bST5GIvyGp4FHzR/x5MUXrTNCqaQbmldiViLxqcngKBIMQ/wkC/i9sM5yms
eErz7YOqcQigFQgHmxaF9EPPBKzB1X1Sh1tRlo7Mt5B7F3f00Oy1eQmfTY2EUqr0EGpN6VlKcpvV
LSysMVkninSCaxJzHAHMCWTAo0Kw8RPdGWQBxDYly76hYEjF2pEmGdAredVhfhoDHYL+uBvz6Ucp
lK4A1b4F7rX0SxkBYFMQXbpdF7h1KOSOwA4haTuHen6wooax6QXzB44+D5rUGs6YF4mjmxeENrJ/
Ry09zt6Y5XvKovu61W4LjTNk3ZZOjke1jahfh4Owy2Uy5kSMD9hea6nYpkJ7OQvDQ1OXT525RIs3
Fm3S8bJXgUNmIsvfmy3t6c9W9lusA+Wot2Km1x0i9V3dUDFGWta5mImSeF13US4c4eFGWISK5FoI
k0/UhYtU7u8u+p/b0MUAAKSR0x4Nql+3oZGQiTTfJOE4Yigf1kP3MBYcf1YZB82Pv857G963VzoT
7RU+GRezz5VkcjjVyS4NSvPzttC/xN23qNCdjy/37t1jNOGtQb+AjufXLyabUC79tAhOvfCt7fZV
8JSnTx9f4r1vxG6ZzTKXUVAh/HoJUOJ0taYyPBEWGQ/rbprclJCMLFhHUNHk9pPUtXe+EehGDi0K
rwRt27MTQ5/rjTyJbXRC2QFlu4LtvC6TT77Touw8ex9+ucjy8zed3MYXWk33uQjoXrutL2IrXH18
1z77GsvP31yhb+e2rynWnOryUic5PilufSP65CKL/PKjr3H2aMoEaUifNdFpFBQ71BwrOqHDYoJ7
oI+qN0e5az654ntfi+ok9Scqv5quoFp7+7WSyMyiPJaik1FdQVFySqJd/Zd/fuuwR+vgxXgPJPPs
1vmaIuhmX8cnXKluplP/KZwhvfv4Iu/dOtJwkAwo0DuRDvz6RYohNIwoIlGzLh9yQkU4KcZMBpZ/
E3d7tUcE7F99fMXlnTp/WG+vePawQmKg6lKa4pM4klbefKV4/8lkcKah1kTCCiWDQGTZohLAeD2b
fJpCDZNwlLJTfFFviU91uksKtK52FV5rDtGy3uf63PdeiLff6uySkCuzsS37+NTrhNCjnpcRs8nF
5v9y77C1i0sSo35uINRn5B1tJsYnv7IcWdqbZvvJvVvu/vnTUcHpkAaNsc44f7FLRFTSRB3vZHD0
nUyZ3ea3SMWnH8effJf37tjbK51NcJRui1oy9Pgkac+heaX5N9X8yfT2/iVQrC0Ab6SdZ69aRHvd
VOcgOeX5UQMUP0ayLXf6J0vde0OIl+3nVc4ePfSQsJ0CrhIlT6mwwWnuLlkuSeck7UlI1qn2yTP6
7WvJogrxj5YYSxEQhTO5KmRJo8yMIj21/bqqvw26W83X//BFO7sEtbS381tOqrCC5D09DXNuSwKy
T3rC/5dLQIoG4YVd/9zmG49jJqSctE5N+iTMWxrkn1zgt1eZ7wDCFoWwRuFN1pYF/c3Sw9QJs4Co
mRP7vKzTnDDeLr313Hp+/SL/KtkWCdl/r8pePDbN83u6b37rr5IspDZKBQhHZYXzMNKON51b6Q9l
+dcmejQFdbf8d0lW+oNGL+OViRzV6Stz86+SrPUHb4vOX6R9i/IUisM/KMsyRn+Z7ejcahIfjH/y
qoiq+qp0e/OK9J01CqhFh+OERtNww96PyWQ2rAkAbRS6qezv2zkBQDZR7Ei+SJ0E7wK5etRuyxmb
9tjrc3LREP1LTAgYxNmFapMXrJo55eankThI0hzL2p9d8JwUDqEIb0bwSdaLJZJddTM1DVntbWSo
iBGmebZWaUmdiyqGsEirK50CKLCsZEDDNMMvwXTfBaPkUkuuZ1c1pAy/sPnKsk2kdScmprkmZknV
7lJJCHWkX/UWeTptoFxX200p9JQKlKmLXwbFHL2AE7voBkFMeCxhegiGkhEQpW+m3yM/11dWQCA1
J+upd4W01gmYiahKsrjaYoYuCdGq9r1fIBHznJHpLE7EJGhVoK61KXzRBwG8Y26+0H9GgZMBVzBK
flYK8RI/0tXr0SiGfRiUzd5cWl1BRBmZxMzABpyLdNXAjCgDWKtXGbhIZDoC8ShLEKc0ReLGrFW6
w/6QP0rmgvqdi2BX1kJ6UqeU2vMoWWuzzJ8TA0QVRUb89mGvrpui5UDb5DrNdAMmh9alp0QkZx1R
D9GpEHKyqhqoWP8/9s5rOW5k7bKvMi+ADtgEMJeFsiSLRU9RNwhKouAz4RLu6f8F9a9pe05M3/dd
R1NFlkRU5mf2XluxVw+cj5RkuiPaXB6LoXSo9t0GJCkaM6RnX8BdJkexlMTjhCo4pG373R+x0tc2
i2u/Yh2/HdsEp0lv+welqu6Kvg/4qZHmZ94z8jsl1FUBaSPTubml2GQR54/zPfkt3mEMVQWHA1WW
GiuSeFqXWZ+GuSCXlrcZOJ9KWdgso/Jk07auCSABPZ7yS/KVaio3rZx8FaI190S7k4+ZjP29n7En
XmarsSImbQXUDbvcL2ZIYgjzVdYFU72bLF8jhOmaXTzJ4miVLRHUcV79ev//e2yu1q3/fGyeP9qv
H9/+KnhZX/Xz2FwFwPhhkLaBVPv1bPydANh2A8DtrJFWLS/Fxk/BCx4bBgj4YkKoUyE1z2+bLPEL
YEvHR6OCQBgc+z+yy0BT+/OxCdxS0GhzdtNqu3+eVTiGzQi5KYqLZbp9ewUctjajjPQp4zVQhT/S
rbTVHOkmb4CZF1ttV6elrY6YxMw4P0ip2Mgyue+DF4bh9abOhid4ye21OYGq+xSTAA3kFQ3DTL8f
VV18IYkXmhbH1LG2vTLKkOWrYr5MRjnQ5tnvMfd/xMf0ujaXOykmPn5x+zIZgLk9xvM6mF4Wc/wm
av+hdhTfAHb5MZm8/UCOztHtwntip78PiiClKq/W1EdToEvsi+c4qe5Apy8Egsx9VEzWJVDx/VhB
9BWrxDIRS8xyLTgOglO2KsZjLOw3F90ag/lZ74aczbXCM7qjB8uPtVOVu7D1AwAusdhVTfpJF02/
laQVHRJShzdLbZLVlMoVFuxwyI6iT4+wNZkcNrXlIx5g64/4xyiPwIjrXeHm3qGzrPIaDVLy4Pf+
9CoGHEyK0KwNrgDvkgW2TVJUZt3OM/uqybXvUskORXZQEUXj94c2A/qeqgod9FDxo+08IMK+6Y/S
hkqJwAMg2GCxZ5qKuLvKrRZpKAl+10Hdrpy4cEba2pHKll25viGsU1iwkNvba0Lb7BfWF6txgEYD
DPGbPD+nAyDdGIlgDy8pRRGxxtbvTa8iTjCE7zfNCqlQW3yUSr82XXGjTDPZVv54KHvQz5jCzm1o
nEl740Gqsq1Xlw9TKq9qu32zjeImHzMFHLB6cpKUIEHwv27d3NmJfyurSfcIe/zizstnwgRRFjmo
XLw0X84UI3JjEj5Q1BgrHPSxLAPTk65WwmTMsHYSdrCrluTrMlGtxibEAVDA1V4hlNh4oUzZknlf
WdgRVuqaRURF0G2ddNppq9/61fycTP0EGVV6rBcAEZI652zQat32Yqy2gempI+oxRLl4LqaMP4mM
ZpMyofaZO4FLJgy59EJcjYs7HOY0ww47mbe+h9esQDLORV10V6bZXxMtN0Qsr2ygLJ3BZW1/FhOU
0HhWj+PqWwlnco5j2fmbhss8zFa9lAnlvvP9jypOviGgXjPtyqjP8fXm9IMadinPADtEU/uR7mYg
Q9bq8FJjuA949E3LTbbSbHvkZyQRcsWzRxs3WY6O/Ep2vXr6t+z+IYawqJL/y/3x/u3j7wDJ66t+
3h8/AMn2mv1ic00gTvxd2W3+4kEgwqoAMZ6TnS/9dn+wHgkDSu+1Kfuhn/hZdnN/rEJJjgmuGCRC
/8hAgnvir/cHljHsYiTMr6FX6/3yu7IbiN7c2b2VsGis9v5cAbnq1md7bm+dvnwF572pQb5vl2y+
8sllOMgqOXMWHE3LwgcwNNEY0s85I3ntfnk9Edq+WcL8LBnDgDw27mWGGaJXRCJiGnkxQyb+cRaG
OxcZgKVrDp4AL7dOQKwNb6Jk5ZUXO88mATNL0s8iLLfGMCYvra3No4yL66Qa48iPvQENgqX2Wme3
imE6xD37TZeQ85qM0rxzXAo+UIN7QPnfh7H7wNcpWO5zlwQqJ9K9xWBQpPdTIoEjjS8Gq7xNKJIh
YilB72B4V54wvK0mL5iTJZ35PKovgZd/Bd7KIcVOsR35K+q2K3Zdbd1hnYDumpxVvVznWG4OeeuZ
2y6zOd0YsEkHhXxWrhzTfopK9o4HrJcDU7fxa9zlIEktnUHIDKgBUw8RvJk/seu8w5AGW8zsgfo7
pX8zVuFjVwFXq6z7To7tPi/damuEy3VahldpP13XKjUjH8IQ2orhlFjgCxOFdAvzGIm+2jP2RtYF
gNjN5bkrlDyGYF13Gl4yasneuaLKyPdhMX2jP4HVOqToYyRHflflwcEZA2NXJ86NaKxT4wY1Cq44
vp+NtYxo+nCPbMDchCXicxhtIpJapvdKGMgD0KZm/l7lzecZf+qhS5Djl3W6ZgIyhK5rd+9jbcNR
S1skZLzvwenvfF+S/JRUX3uSlCLLp6gmPKXalXKatlMVfy798SQSBtoZjMkt33TekvoCjVhOW3MZ
dlls9bt1gH9l281DEfvp1rcxeuQTZzRJzd6tSX7xsbXnKkr08hVIsbOpOw0K0SAhNC9kGOlY+eyB
bHADc3BGkxlug0l8tPVAlGxo3WKQkJHT8yhTVUzbZMjKfZ3MKC8M8ShT5/Pgk86X4VkhZsEvj303
sTVOxkdjjrtTnM5fWUThfanwQyIrRmqpBx7j0L8jvGHCL1O6R6Py3sLc/oIq5OCzddvZU3c2Kjhl
iUGolDtKtEDNlzlEI+KPPptu2YXiHnlt715ZC5bSYcPDm+2mdq42zvhRzunrhIoJfl4AJBZwIrro
aT/jEbvzx+ptlOgkkDXR03a4uhpvfmE32JMAgH4P8C1SHgwAwPjmqCgUtaZmh1Xi3My4nOOWa9di
xXndNnQ/TYABbPbk06LiSyvqGz2RtKaV/J71zaPtpCdpB9eEWdwv5BsuS3qwi+oqNUAC56wdyc5G
KFRqmsLWfTCVGLYW33ffTExdHZB6ftqclJ/YO1HwxsPk2I3uNR3qd0HcRoeIiKPJ3am4mq+UMb/b
iFs2jUVQQjP13IrzIK5Ae++DKZliTWB137/KpBnUfkprd4lSo1WPDmjIFzVN49sU29CphdkN7dHh
tv6cFMq76ru6TO7KpEyCU98Y7ueYPIL4nLPhPFRh0W91GL9aqQtNcbJ5NGJcdvFahboKFNy4VqYj
z93OW6tVnsI37Wpg43ThSJyP6VrZws02j2NGHCU2vPtgWS6TpIJaoKVj/KnuStBoz3qtlqs643gq
qDk0pXTS+vct4edHY/T2c9bVx3IuysinAHfC/ls1Dy/NWpnzKT4ElOpLiGmtoXgP3exaF4DjsIm8
WyttXsmR1KfqwRot6pE+7o5NSciu/NEWmHY0UxNSbNAzSMYVxUkqGzq1I99xJKY7x2ZfCzDqJivy
L3YwchpMXybSjWUzr4ni8Ktdl89hyYQBst2TOd3IAXxFcQzQKcvlkOnsYAzBJbG8bD/M+XfhpFdL
1Z9iiVPFL7OdhVZ5YwXgLsuhQVJcjY/V4pD7HHP6tVWV7KUDBHyeYWPkdoYNH6v+TKKhM5hWVI00
3rZoHrLcY/zT+jcxxarqzCwiboriDIF2k9q3Lqhs5CLGHmZjF6EEeymEulNVc2uIWEbKFK95MHzN
ceIc0PVcj/UEKnzqUQosr14Dkq/OLrOnqsjuxVUdx4iF83qfQb6tu+Cz6QTZwTEVSbqGAuWN8UCS
khRhqkNux2Lc8x/9sHCQ9rofYghx/S0ctk7QX+cV0ykU9oI/OO1b0V65PdInnbG/zlr/FAqf8xlp
fzHAYzayR4Q+aGmQITCWKPr5ZlDGS7H6F00Moa1WPcfNsK+s5CMPw6M3KmDPfDWug+/9kH+rO+u6
stPDv/Xkj3pybc//cz359JG+V+9/nUesr/pZTxKCRFqR7bGJZBrxxzEuBhzmsfa6F7f9Nc7oZz2J
shaoB/ML5rSE00Fz/20ewRiXtDofs4zNjslFdPsPxrjs9v5cT7KNZ4bLzwpJvvkxS/59PYmD2DEJ
wA4uA7PJbps7znPimcdcSuNKlwmoDE5Uj9oCi5o+TeNsbVQFYd8awqveQ59SQ8JkGArf3FDNQedY
2KRFwhvRqbtc118Te7IsjJR6wrsrlDa2jqFfOvqwh7lCDCBaEd8gcxCnfPK3oiEeowa+e/YQ1iEW
tcH7+dYXjq7vJm3zsR7lbWuzPo6A+Ra7bNIPuCDuffz8901dlVFSjNzIpcSxHKChR0iL6Fyjqplh
Gm4gRu6CqdjniTaOFpLBXb7OZQOdfbOkPelttzo7e4m8UDA32CQ1B3nvIN0sYmldYhtR7KQl/49l
7NEHuI+nBfVqVqJH8k0sOCFX6YIAf9M6Afk5znjGP3fJVYpGxz72bbUmWNvvPezqa5EQr6b6wYMf
i7aKLFPOpevBMKExCbzfWdXMhyUlXaTV7Q5+O/kOqYh3ZmA810v3GLbtsU7N4OQ1yx2Z7vMWjPur
0/hfVatuG84dBDnpFRvLO6+Pn5JhdUON7XYowu9t7Z5MHZ69Dmup3RkisqTrH6B6f8rH8krI7G3K
+y6aQ+P7lASriircZ+Xw2WMLVEu/OVlumkW57BF0QVrdMOPFcJAm6U2WoX4rQP1/tqW6C+b8pTAZ
5o8VTX8pvWlH8BWDLgUfeuk6Ji7dWyCmSOH+3RWEJGzmJEvRBTQvygmLfWWWGFECQU1rTk9EKUdk
KA8OUzOzZ6BrDZEocRElrr6rOxy6pj/mO8RhTC76T0QmfcNr7O5jx/pWx0W+T6e0v5KxvYlxdOwT
6Q97MTlxRDYBQi4eV3YBWCTN2K3aTWYRslG7zgnVY3hAiJ5zbCs+CIhG51wAZ+6+OPV61TBB3ll5
x8ROdN+pxlAUmxSpfPbrqJZFucdiuYrNcZ60IQhxmosNosyS1O102cYW/veyRxMOQgIJebhNg+ni
DPHR9uRdOsmLKIKTYWR7bZ+qahuP55DvSZrNY92MlHmzf1dU4tUPqwvuObzgTj5v4xycFThiwks+
Otl/AiBubtXUA+jOa0zQfthGKuxDMkfkXhX12bb1oTOq5y7Rp6JJbvoKx7Rlw9q15zu7HI4YuLnr
R9xv7YS4tLTxSJnlW9plt56omeshfDzljX9jh9Vt1pMHbjgIxrvZjlRRsGoQcNaT1EJFwFDtpPPs
xtbZjVXVbyU5g1Spnd4IK37GwvdKr3axq8I9pKSZbafcEhEUaRJf5CrCTVhxGLo/JG5FhSWWKcIH
+zCK+HWJeX9NrbGAZ2TW9LwOawByNrSpdV6c4qX9aKTj7uylxKEW2kfCvKgbZ7CbIf+siP7SVzt2
7vsRA4GT6ZlRZOfC08Z0VTTmd6wS125GXZSmPuPEVS0N2sSssrdFOE8xbTc5LADIG/jTuK8QAgfh
Gxw2ul5H3tsG4ANrQXUc6kO/MJFsZBBjuh/u21QfYmk/DWl3Ngn+2Ph1cJW1KQR8v7ovCVyf/My4
StGyZF4vt2Y/XYk52A3JurmYGOSSw1tGQo7FrnQntV3M9LzIESUskVxboy2/J0v81NASbmbLJvYm
S+vDlObf2tq7JMpiiBeMy5aAJjti7WVejyTAH3saR7qUZLM0sJYcZ9zh7kaQFCaPk5PttG0cCYq8
JkFo2Lt1e+UFCKQlDUXUNERpOKNAOiyUt6ek/1S1Js2i+d4wXyX/jPCEYBxuha6ebW+4Wcix3OAZ
2rmDu19NDoMKrvF0HHPcw0cypgtcUIJgHtc8zL71Fdv72Us4s6fQ2YkcU7bVfvR5du6n5h0m/84n
OmPTzTpCxfOGCXEbF0iipzHGX22iXeU0TXr0xDwE+Co4ueuNT/DG1ivIdZtm/6nW2XlxvY+i56DM
HIGjofSPfLgZ6ZKLZDkjDpEuvLThkhxsd3wpeW43QQm5wB/Z/ww2o1tMWy34+I3wF3Wgn3nn7mzx
xKUaDvSsdqbjiEtAgubBYPhzaLv2U1ZYj57UTMCX8Nny+7ecPI5Ny7lAXiCPRukDjI4na7/YwRcH
ivOhpbLk/X1pc2xkMlDfupiwgDAnaIe2drmVRe5t1wqZO+88unxtBKrTh0TJoTSLnNpQu7DS32JB
DJ3pN98YpV/yPOxwYcQF+In4bNVCM3GeQQGrcNgylHWJR9LYMHpOsDgAMuQjBQXELTfgtfdKJ8fZ
I2LP55w0qJtHQz7OipYxM/LPIEe+eqMfOav3IY6Z4q9uCIIGH63VH0Ev6l+hYz7VPWYfDnGU66uf
IrOWmVLb6i4hES4JinIo0CoKqvEyEXaDoSW5MTHTRyFWjcDAqMp89m1Eu7wzGuwUCcaOYnV41MRp
mavno8X8wWneYQVxh/SQZq4H6UOnwckEctLcqpLlCi1aZiYJiUHNsOxMK2zSXxmZ/+71VrjVf66j
ya/7PxtAeO/tt791qq2v/llPW+4vloPiH8EBK74fsoSf+z1IeRTSLPjMtT7G7P7/6mnH4yuEjkPV
Zhj7Rxye80vAHHWdqf4vo+uf1NOovf5UTwv86g6sPmrqNcPUXL/+u/lsOHlGjYctvTWKwN56A+qA
YJmdkxhQgw2twzSnb/q2ZQNm+D7V6kJOQTw2Xf4850W+CxfMJLeytd2t5JieTI4Mc7ifxoCQB01q
X5vyqWsW7BRTOeQ29xe2Pjpmh5EDOV2+1Swnmoc26Q49nsz0MegZmrTUfywcDJ856JIs+VOlyuHZ
ZXNnR2Vh4kOykGWyu8rTfV2Xu0X1ZQdBK8NaAonvRVoo+ok86YeXuiJzAs9yzYfQpfwqI6NrZIQx
PbhziqGG9tLkb4ZXe0eSWchQhvASX6iNk2AD0ITDtGuwklTxUuFwz0Qchco+ycSsosrJ9dk0/OrW
F3J4oM9I6WkL28VzKoejNmKP4IsmoK6spoWPd6gW/A1aoO0IMs+PciT2D3BSuM2XvsqOjASWr5Vt
ONs0cedORrPZeKTH6NDLCXR1HV2oUzA4/cFr+YVwvk/G8NZnrWWRpY1ewM2xg8kd4t41ZXv5NXMb
xQtyk2OYBPyxuW6Tg2/2C06FARxhKLv7EBgik16ojpuyc9Onag3qcLp6vAMQpP07aSQD2pHOZKKQ
/GAfpvbKQQxWJGJRdvbTFOoSW67QqCdGaWbl0XQk/hhykOP8xB2XTxjzMbB9iDFIPkIilQ4sFeN9
maVoaLKQSIPOYIJZGa2/JXK7+wQgoG4vjUF2k1j6XwVj/55cqxTgP59c5/c2+zsdFy/6eWDZK4ED
OCAEPm9Vo/OlnweWzQDAJtodXyvMBBSJvx1YwS8OYWIOQi30xRxlvxsAcMrhNcQbxTGzpkBZ/+TA
wuT7pwOLN4bkQSD+X98F3/CPBxa2W08Iw1wuRE++NPQgUTnPck3UIQJzqfZBI3CwqJM3GxEJgC+V
YhpramrLKhRPeeCeHdWfqjzfNUMQd1vfr+AOZOlYP5cqJIfeNu8TQyImZhQabiXpcV9szN7Iqixn
SK9JQqkm0h1N4m9LQiCJI8x2lc71vYmpdUug1uNYiCUKhvkSevTbxHds63QpmAarp3k2XpQnnx2W
IhuTej4yWzYMxnxJs+CKlT8L+O5ruzgb6rkRKS6Wvty+YzD4Yg8dTLSe2VrcF+ehbgs2B/L73GJJ
4OO4j11ABHZLqqRnT5e+td6bknWBR3LIdlbpN1Lslm1vEiQYTsEuMTEZscux9oUvfNp6w51P46SM
COTBtaX9C0OESFvp9cIOGGSqD7IhJVzdHq7boX5NzfDNcH0st6VzX0A9673qpcgIRW/z5blvCcvT
Vn1rxTTOtfpum9aW8M6HUK87Kae6qZPqZFXzS9Hpa0MN382WpZRpzIT9OI6mEaL4NIyi3zhlcWw6
o6boEnRMyt7GNnYrr06Di41cDXFTU9AB4eFMFcyxEOSXymmIKyRqO+KOlkgSWxKhGf5KAOSVxEJ3
4HIx0UtYuM9sZpbOUev2EpctexbEyue0aRvUo4Ii/8BqnZWiV1YnB09f13lU6kgZHEXHkUr6B6xY
BfGkRYnG3dWsfuT0nggSPPmekWKeQwcLpzrFZ506xrvZJnlEsA7T1cKJLDgrCF6CM3wbzNNmp/e2
TsVNOTrQimT7iBrEvbX7Cm6CnQw0WGG+XVp9TAculE6ULoNofxuwrztII+sJgGvErc4CxqruicCr
F6RHR1PbL+PQWxH5aOa272zrFlxEflNjndokIRjY1ENAEg85lrAJDp3jGvFhxlt0W0+OfZ/Z64aq
GA6hSzTRmFxVRYcSprHfsbR4EDrm7IK+fIzQveznoNrrHh8q0r0S8JT8MmNOtYfsk0oMTvq+2CUp
v8+8nMsLov5NNlW/zne/Tv83+WDOXWIgl//dYIUEasUFUzutXOE/LZ1rB1hhaYTWpaxAeX3DgDdW
p9+dm/9/PwLRPCWYyRlpAjT+4zE0U+p0eUYYIwMVXdzN9ZMM/62uf4VErUEf//2OqlX3/tc59fq6
n9cUugfHBPjElJrbCp3b764p8xeHGfSv1xfeid9uKf8XlC2WBeqBETfGEZ6Ln7IHHyGyw5WGCctl
WoBO4R+MqdHi/fmWouB30eDhtcGYwhPyx8cjJ4zV9hc7vVQmVJRzavfe58kyadC8VsqEumr0rhbd
iM8idcf2GBoSFNA4YUPE0929hKmrHsMw8xacoHpUe0f6/WvnaHJEKSn9nUgZYbqZ8TLZHD5Tsrgk
cdpFZE/iLgjkgbTOix7EE4OWd0J63u00dvmkPYguqHaxMA92WWUcoGzurULspiHeaqO9SgVEZkFD
GiXt0EWJOb8XDZmpDQwY0vuSboP0yyVgHs0QpO19KQeS4KRPoJkmES2hURjG+FhX4gHL80OVCWtb
OP63OSYJK2gJKBy4l2TzWDv25zSAj6MAL+ylzInUsxfAeFlYRWogYxUx4kMu/Jsh6D4xVdsXQpY3
VauudVqwMI7tYOt2vgXbMgEhNNYBYa/Fw9DUz4271GenHbADS9Z1NMsTu7mZ7Gp3hf+UcJZ6Z0qx
KifljUR5u/j1JyDXA5FbJhFuZvuxdO2Mt3Uqd0Gnj0SBHEAoHC32rLXv56wyw8h1gRIio9mzxAKQ
lPNvAFV7jBJgFcdM8l/uMOH4DdWLZKjLQu0+cNNtUJdfrSJ9EqpPCXzL3ZvYi0/gJu6zmjno4BE/
CSiM5GMtbpIV26tKMpmFeHLbCq2F538TSl7Toz3Uc0AYjhmwu5Q+/u1B5RuVTNcS5khvjlCilDyU
GVl97CZQNVpQQxv5kouu3ApMGHt2rjtR94/SE2NkjFQBDOf3buMPt3qVcxARAnGkdU99IaqXoPKm
bVtoIn65yzx6Ron5ftMYJsqUWT+3c/4lHkbvKNKWVYhr7v02eEVH98mPk8imICkrtGLT+jbM4cGY
g30TL5eyyNjq2/swvuNhVbfuoG/KsLhbZvE5EygIJIHi+3bKkCGw6IY+Pl/3gsfO8vIbZSsuv1U6
ZwSvho+WpvfGLLLyKY6MNtsXY3Hr1dXFCdtr5LJ3Q4eageERwea+uzec5rMLpiP17OeqL+lfFHSG
QVzmbIQ8IihNwnifDA3FY9w9gfz4Iozp3Ar9gXn+CS7gCVvTTT4U1slMfQjNJcMnT/F7YHj6rbTA
kdgLCvJgKiEOSXHhL4/idEw/NS3IN8usLnZs3TVcm01YfDGMOApUaG78FDBR5VR3vVYBy1nKzqqX
r6kICXaeS5vEE1leG6WumTAj7IxZ3EV+Vb0jSS92/VzeW138iS3DHOHMwGIQuscwWG5K2Z+1xVhK
u2+jqN6pJsEI8ENH+z6vM6IMw1Na95euNA+u4x6duizwzpdnTW2/kW4g93Mht65dACllTTZ7KeHm
iEOzVSba/VCMTqt4dF7kQKYwgtJwlZbCfn3Vq9g0+aE7bVYJalOaxNOtstRkFajWq1R1QrMKQMW6
TVcZK79z7yJXaau3ilxRW0yvyyp8pd0tr/NVDNvzT7AbV4GstUpl6x+q2eSHgnZYxbT9D12tvUps
51Vsa+TIbn/cTv+2kvZ/HYKdlVR/c0X/fvRF5wcJCVeWvaKq16nYz06S25stLr4e7mBh/piK/ZQm
rgBrekkfslPg01CyAP7tjgb2xOoBZSK69xV7/U/u6PAvnWRAHSAorFG4++tG+493dLdQ6mtPE8Hu
yOWmQUxfg+QI0sbdGlMy0MossUZfYjDWKbdBH/sKylCFiEZn+Q+qilme2cSaFQyNhJ+REPE5Gy6M
DI24eZewN4VNtIweu5yxhzbyOmokVSw5EhdFYeEbYX3q3BYSbjh4YrrXuY/MJDVUsve91oj0JF9p
dsgbR0PWr7ds1w39phnMgdkusDOdGN0+1uZTLu1zK0W5gwqPu8h8oCRHImWtFFo2HbWqrmUT31jj
9DJ3cOqw48R8WqqDrk+cyiA1ktreZCLPosJnBlZOPsqlgM5Hxwuguml5JUEWkjFy7pJljKE7MmhB
14Ev9km+rYKrFqSDvYqeMz186kH7kG1cXleZ6W3pwe86Jef9KAYRCR3qKB6aPnL8ZdoWPQgNE3rh
bsZjBATP3pmenrcQaBF/BsM3w52uUQHRjQJpYg5nfZumWkWQ/Pe52RwzD0hKZZU3eWDXEaDBF+2x
0Mqb8YZkaB0NGUrmhWhcgxup8TXpPUUcVQZS1LiN6xMG4mQzueo2t9UDhqAo9uvrjA4+nRD+D9wX
lt+ATC6/uGCNWWgM294Be1UWkP1dhgx1cuXG1a6tA1QxMa078KqcMkMV+2D20UM6/bkyuMMggec3
SOYOVpK8amoeLPIhSpyZrHZDJHeT35I2HxJV2/RXgx5yVFLta6LWHQNhavNsPfbJtBMMUjf5RFaH
zB8SOdxknrMtyD1nW7lkqL7mclPTwB3bIk4jcwrvUJv7u6BxPlRpdUeL6psBhrr1LNkfUocb1ime
mTe/VHmzUXVzMUDsRhQsNrK4MI+CMmc6WL2MfrBdDVfadN7MmvxnnxN4GMvHqfAYiDbzRqw4nzTA
lz+TnsaDbqfXdQ06xwkXHGfj+Cp9m2rB7l+neHyx3O7J7eimcbgdZBpe8s6LjByalNcj3AIigwZ1
jLRf1NumsLYqQBfl9PoxzpmnKGadIGOSU9K5ybHpmwctljdgRJ8bjxJvyiCrhiw/gGG6VuSa+nnI
GCdbhZttlUivDENdmX74LilMYYA3pGUq6xEEwD5r3ae6Mw+Go+5GMxtxEzuPzPCDbZCa9P6TcZuk
7jnzayMi6GU/ZSVoMl8eIIC+V8kyHWGFHvXQEk2WBmEkDS5N3CCKRGL5lksqzRkhI5+yJbgOzRm5
rAXPxFzam0wgIBjRrMU2vX0Q8oaFMe7Lbr5Ylgt6CCCqaptbylBI33F6xcCn3Alr+iiy8CF3EYcI
h1GxVU7IQZf5+zhQNQ4DPH249W6ESZNCueutA9JWBeZEP4qYelrgKYKIaaDhrbMZ7JHyIlelxyKZ
3kXak6UkpNxNIqQUaM6W4bJfnBh3Tfj92lUC6aGFXNBEtmgjE5Ud50W9yR+iSdST/iqjrNFTmquw
MmBoDZqfFmGy3VOCXZDUW44Sy87PFsrMmXXbjFLTD6lK2vi6KvNTipIzTpvv/SrtRJh8M6P1FEb9
VK/iT2emjDBXQWi4SkPbVSSKvmPnr7LRHP2oXIWk6AD4zDK58FaR6bjKTbNhfAlXAapWBp/pVZQK
d/RtWmWqE3rVYhWu4r9TDM1stMQzi/bxY1xFrjB7ycWc3etUVG/TzL+oFQIRGnt7Fw/q5Qev0umY
27GLTRPUoHOBNm5xIBV1CgS1+3lpze+DxcNAZfhUt/zCRtdytl7Zk6GTyGbfVP7dgFwdaqWF7JG1
eFkOtwC5Hvirwu9LLwt80L3nNgFth0EsARJupFisDwLzpFUBJYxF68kdvUe7jj+lfrgc2jL7qEYw
RrE7UkTj+j52xfBMJvgSAT5Z6ELbAdrTv1XSD8nd6pj7z8OM2/f67wYZvObnIIN5uynIxHJ9kBwu
9I/fqiS+BBGEDSHu//8dxf9WJTH3YBbvw4dYp1y86meVFPxC/kfIV5zVV7jmhvyTKmlNIPkdJQLf
NE4RjNOrz5DCi7HaH6uktukq1xvs5VLXZG1YNgv0NsRIVHvzs5U3h3i1XJEgwKJefzF1TM82MXCf
3OvOi0uObeM5JDve9OaztwBq8sDWEXDTc+JmF4GUfY6DO7NMLNbk2t41INGKKTyPjnejKnUIkvCo
c/uSm4wdAizYUZugCuvF+Cg8pfd0MB+GkLiKQwQeg5uc/VUNYODX3QSNt5uZvKwt6oFg85O5Lu9r
O3jxa+eus8uLFwLH0q0kBdwZSlS28yGeEL7OXnhf5sljMhaR9Dj3Z49xS1IqE0uX+zGqJD8vi67f
Zc/Pmb3hsBhtEjnYTLDEHSujMPd4t9stST7prg8zs4dkV19pMyl2NppAZil+uC3SJspKbx825Zfk
f9g7j+XIjXbbvsuZQwFvBmdSKMtiseiaboJoOniXMAng6e9KSi13JN3QXKM/ov+m1GqyMr/c395r
D+la9R7xjO928H2hVdV2tpsWTiFPTxSmeY90BAy4x41Fp72wC+NgzvURQ2R6YRAoiao5CH2Fyo9y
ohx5zakl3bvWSF1UWdGHGnZn9F5hn+loPVSSsw2zBm/5zikOJECpYbfgVVZ92PXRSxf795kGWS3V
rL09Rx8E6wHzAxzzAxdyPuURYE/QVjTb3tdJRI9kXur3s8/h4U3OoawISdhxc8trbQ/v0gsTB3xh
zD41rNMuggMx6ryBWRlStr1NKybrJUlnINBcKk6cvwmjAs3W4pjrtcW8DVrDh/CWo1ZjYCZalKw1
0pvbUSqceqHI6jn+6IOraOuxT9m51Pz80IBinxSTfbRta+WaXrbra6do94IydrpqyJxcGG7yHms1
gOYoDy6WBqcgYeiDaOP7Tiejr/fm3taaPqSHZtMlg7MZseb4Y1UfK1+ojpbPmiaClb1Ikq3jU9PN
XMRL+jCYLUkjK7DCMWqekB90rCXL5VBNl2Wp26HwM1IJPrGgGmC2dE5MI3wktIdeGnpoS9XZQnLQ
je2zR/By8IFcpsylkEfrFdHLHU+Gy8KFBKsH/cvSROdRz78FExasEl0pNltGNNzorJrbdCOyutum
SfU90PNTQnfEVMTJRg+CU1UE+96BKi497T2N0m8kGdow1mL6Pk393UqbhzH315oybgnfNL6Pwtlo
hvYMwxqXTO+frImbzMCTduPm9gux9GNneO/e0h1np7laDMaCdKF2oXbOU12bp0qUkOjbYtN47tGi
/0MIljKamdyOsT6s8nR+Mb37XNvYs39sUhjgmNpWUZIKEODafTqi/fV5cQMaV2NyE8+NRm2FO0SM
W8t1goEsdK1+bUnSTGm20TR3vyhOLrsfgJkCxhtzCxUkwQmMN8DM/JwCix5svusmBLzRg2Cel8tL
4I79ti9F6Pp7lvEZCaEsxlzUXg5yOQRN+goclUS+YaBEyYCEc3bXF85rgA1uPUwQE6rWe4g1QjxG
GfEhrhPsCElPIJizEDB9Me26ypzLn6li/+kSynj+9zfuXfoBDPX/KhPqq369c1XrFrYcEpCOSWUE
2+ofygT+d92h7woXOIFz1Z/1w+Ru4WT3XMZj9thK2SdZ/+udyzKCjTiuHEfdlWpp/i/uXJSOP9+5
bCDUCp71ASxr1up/vHMX/GWJWaf6mR4KwsflQrGi8VLH73rA+afQum51mfq8xVMZmJey4deF6Z1d
ozoPbQP6OL4lcvXSdUuIIsHPV548VdAlW5XJqfxTgyhH4PCZIg4MM8S9Fi8/9o7XARklyWXGA6VM
1T2XLmyJQC/wRRJrhk78HGXp2nXMozNnG4qRvi8JoPpseTJtrQ3hYl0kTrUJpswL8yXdd0NLDqZa
nozY28uEedQGlDR5yXNGmcvi15dB1j4xA6GGOOanJqvHVgwPucG63R6cLdHv7eIt12mQe2jXza4J
soFEKEdv2rsrXIS4eyN56HlM5QjKSIkwsFttK7qRFE7pP7TSpMahn70DWrUB4sw+ZnpBeYLU9kjg
9sqgiwynzryr7elgok3Lxr2VDTZ9PvPfCmf+XjQ0H7mtfxEn+qNeOkdf+WAafTrFeQNtOfa0jZNV
+37UsnAaYKnZ3cENMI+3kXMxG+9dVb3E0fBt9h1y1TbD0+LLl1ynW6loLfz29oflNSPbU+PblytK
6vYYajYhRWC7KzrY3I0+zVhK550Pj78Z08uh4+8sjgt7Lec444bK8TqJq37qjWQTeVnN4jp1piNo
bzoQ7EbvD7VP1rxXxBumOOA3ba0Lb2OmRCI3XWf1wXcyTfKQ9aRj124OT3U1WXK2aTasBQ9/lhdx
0rZhYwencmjpc6uttyoR7UqL6LlgZ5wAJmdBb0l9LZfuzY0GOwzy9lNZNujmyNZzhZjrqZad2Mlv
vQUp37O8Ky0hstabDf8M3ru1ljwVk/1c+RM802m8a4Y8CQMNfdpunfes6T7NefpYejGvRq94iBmi
VW8IDmSeUHlnHgWr8A3VVtaG0fWaDVmMAJHv7UQ8+7nTby2ylxsn8p/nHk9xY7sZrjX53vmmXFUF
r6K5JJJckWMN9Swgjxzz4H8usKXGGAim7N2eurVT8vNSxaGTL0fexrusbm4ADCQbwDrfGuLHbBPi
XYEH1rOR7WNCWxGBj53Dr/iGfIyX9gZpPZxtONWye64ch+tt1mC8et6SrvlHTbhac6Qh1hquW+CH
SMjxion9ieQ7Dkn3dpjr+JAnuDTc6mqh6wNJDp82TOHCHjEut3Mu3v57yX295JRp6e/vldt0/BBd
+g4x7M8FRuoLf1wt+D1tjm3ALTraslo+/7hZVDGyx2vO9gL+dQg3v90sVBYQkmKVzSuLSD6Z+19v
FusnsGaknXgjEqK3/1186gvx+Bvyj8cgMFPT5dYLXBcfzZ9Jo4lZAT0eLLTiuuUuuNQKQMtYrm29
K/V1YGf5ORhMK1+T2qFDMVV9eQa6o0fTGLsY+OHFeahbjWzMpB0cp7JOA+fuWppddSyJ+N9RGijP
w2Q3l1Xa12993MsLs5T5nW1IVnB1FlRhP3kfEefOvrb9aGsQZIfhQpnBS6LjBIUXhUwjZIMUWuxy
05DrhRTOK0tHSnKsdLk1OzcdIEMTCq9moyACwLXYuO16MjNzBXapDNME7EdZDtG9iRfydvhyluqZ
k2MzLb48p8z4+E8JPSkzqkFHMtZUm70kRtXxZ9vq/OVhxe1GzkEYvuSxpGyuGCtxvLoubcelk7bZ
Ny1Tnth2zPHHTqQ7xUoK5Zt1lIUWAck62MpWu8BoWHs4GRXK2e8b7GqVk6z1UQTOcWws8Z271YUr
k8xKVdc78Pvt6M7hnFaWhRunyw5zAidoXZNFW4xu9Pbm6KCKetlbnxXJReOCrj459EIc/NZPx9sl
47kwC6darDDhB1OeyqCYK+2/OOUvRpV/xHOcxfcq/ovjAFLdb8eB9xOSnckH3vNt44vh9Ot5gFAD
9M50+EA65C1/N2laPwEfdkmd8NP3M4Pjd+cBx4SrXC+GpfyZ/6pq2VA7uD+oO8y56rzhREJwhPfB
SfZ7+3frYtKSNCUD2WFusJYipzaKKPlRm1r9WHkdUWlNn4cXO0su0mh+9mNjIfCYvVnqRw8Xi/TY
9xfluGktnTrUpoUqlqW8kNia1Q+4SPgJpqmFn+ZK/WADhONnXKofd7uI0o9+0CPqo9QnwYFLhlcP
VlE0EXtjydZucHWbAXeeTRxfZFQVsFAJePeibUck3HglNoSgMsrSATOJT82PJ5yTCMpOGo3YIoP3
yDfYS6i1hWahMlATEROvgdSWCDDsg3FulhqpSkfPkTeGtVwmI1WtlnZp18XBiJPDlEYkSl1BZgSR
Jay7cSB/aCeXzA07vdGuM9oLb5vIP/ZNkoVu7NMQGXRkqrtahKZGtGl2GbcEMLy11w7nqe/OWj75
TI6Q3GYbWnZdyw0BMZeB0O3xxqXWLD5zq79LC/2Oq6F0wrHoq2utzZeTZbMiYMqPGzd5ggQSer0f
Rl1UAizHw2DVFHt1mAzNxos3Zu0zwQ/rYLbKO8115Lbxmf29lg4CwQucXUSwb6ilAWA0raLFc9em
USXnMcbGkzbYciz2bP2k1beuhByEUYQlp1hZwVCtGhPVLtVOACC2nM5QiYbG/tYFBoR/2kjFXFDA
WOD5KJqSyXghadp4zbMTDUh4hoYsRnQq7sJuprn6d5fz/9+fh/cKAzM7K6QoiI9IqH/8wc70ROp5
QKuZqSfNlqpv83sy8/ck8S/8AkD/76Wtlu9/PxHd4QD4qzi5+qof49A/u8kdDh+fQeTHqPQ7dRvP
gM8haDBMIY3/Ng/5jEqwhDyMoabafv2r88/+Ot9+G4gUJd+mo8k2fXRy1HTzTx6AvGqKJtczalEs
RyRbx1/IlVnu8CYyeG52zgSuNBstQr3JjOAh6oFXRkrZcRzvtS+LOxAQwQp/6Jo2JVQg5KBB0w8d
8lCudCKhFCMCWPSPIiNRm/AClAuAmpKYwE8eKJQLrSU9W712KNGiwImsDCVODUqmGtmirbzO31co
WIukGA5Fq5duHdZoXLkSu4pU3ppW/xwoGQzT+M2cawZLPO1eU1IZnl50WdSzOHKPRfZUIKtJpa9l
TnbbKcUNhR9hyjmWSovLlmo3K3VOb2ws6eh1sL6OCwLeWA1Hv4vem0AeU9N9MZXSZyvNL64i0nmo
gLGpPUtkQd5Rxncx1+yzkAyx0j2kSIgwOBEKG6sl/lx8m5AZB6U34pDeKwP0rJRITDxhhDSZLs33
TmmVY4Q7TCr9MlFKZoWkGSltU/jltxmxsxvkS6nUzxwZdPLbXf+li5ZEbEdmHx/JlEf4OVcaqoOY
OihVdV4CTHDBlubXkyQ+pyv9tUOIrZQiOyLN+ki0Umm1eOKe0oQKm1HpuHi0Hlql7OZ5/+Qg9Uo1
7fVK/EUEJssQ02sbX2HeTNYVQjHhYJb5SMddxAuwQ0w2EZV1pS77Hm2+0sW9xD35XsXeXRzNu0EV
ypU0y+FzB8xhaR9M0uptt3Wz/pFf21eqlM4efZ+gQtqtkqyHGa+q6+iwcy9rVWgXeOXaZVu0TlTZ
nUfrHULNPvPEzh1J5PeqGI/feDKGdtPUAwH0HLP9SIueQZseM/KzPRu7QNXsIZ0fO1W819c1AS+6
+AZVygenb2urmj6ij5s5wUOKDdZH8REoS6rUT9X70R++M+n7yzG3FcEADoRQqZ3Li0xVAyZivhJ0
Bep0BvaL05MUUhVnQ1yLx6TqVQBKVaBhdfRuTVp7CDb7qiVNR7q65f7mIY17kfWPvs2h37JPiT7Z
VX9EDoz5BOxjpRPG9KrpoXPFa58P7aqp6xsvDnZ0bdwYUPx9DI0hAAKsZySxLG9cc9uKre/0V4ZV
2PzHNZvW8zT2/dm+7icadFiZQp/yMOWOHRIQ/cF9PZFhnb/DC1y30/RC5zB6+vyNbzSFjpl2mFPt
smrJaObaAS/oylUrkKxYBxg0snLe5j6lD5MP78FeLqymfzRagSFxJstRTtuxpFvJSrNLLyXl0Oem
qlLfSXY2JN35hjz03JzzNIC9RCspB3Y1UCDyylvPZbdO0uCJpEu+6kRyOZLzWy9tGmyn0iVhkYPm
anUobMEbPCM+BLw0Jk9BJoO11cwnm3Z7HjLUspi6OJpS8r11gBAM+6ETgKzGczbRYZbZ93oao2PP
4nLJPUolEQBtmE08y8D8wObdGrl+5wzRR4vxFKdTeeiJooWdN+6RBYnBtyTv8DpG+jJS7pwSWHX8
Fe+XMLGHk/SqI3BPFk8E3e3Yfy6Ih/Ro8QMLQTHru8AbrlN3fNTN5hBR9cPrzNvkWcH5N1Ww1dz6
1how1aSLONs6clqc7QsOQEikV5G73LdKqDP7m8gcLnAnrNwWBXRCJVsWc+u6YmNpxqFm7FtjYVo4
ha1t4PRHvVq2foVOF8wa4X39tYg6c0Xz2QvQJmBL6M6YQ+Nro8KWGMc3BOgvA38ew2WBiuAu8kJ3
4VvSyhDmTcxbUkuDgxU7wy5Ipmur0LALwTAI/E/LXLZV2aw7t990tMFuKUGvWG3157lvrnvP/zal
QxKWjjOEU+kEzN9m8ZTTyrSOm/EzI2GTTDox7wptr75Mgg4BiSzOwAhopuLTiefNoMI6yTRtW9I7
uUEVnwMEmxN401XOjdAi9oYq8eOKx6mdjlJFgbqhJAqN7xrJ8WiSFkomMvmkh+y+5xgnT0R1Aasq
I2pnGzxJlz+MBePw2tAqnJgLASSfJFKhpwfTUUtAFVCaSCrZX5GlEQBAh2k4AERlqFgT40K8jkk6
TSryFFntp9ePFNWRhoKqzXE5TwSk6vSxJjFFYOvWVhGqsaagnkwVoj/pp+ACm+i5c6fDosJXwkPl
qMhjTeSygCjdFymCIETvdVOAJvNneR5VmMte/LtFxbsKFfQSKvLlqPCX/RUD+0qElV/psN/NU38x
xCovwR+eZ9RNAz3RTcyScG2AQv9xiiV4atgzYcmzcVeunkDYXrchDNYw+H5/253qi3RTh/0+vYQg
vU729Tah63cPdPXnYfq/AVdtVv5+wL0uhvJ79xd6H1/164DLKolCUSKTCtGMtPab4McqieGStblO
qMT8ykT+MuAqXhL/F+h7z7F+kQW4kPvkf/+HLRMcT1iejqlS4xbf8n+xSrI89c75bcDFvqHQFygM
xKBgPqKf//EnyE7iquIkMM4OzqR8T6zOhJfX5qcM6dleuhs/WR55PK5M4B87GQePWpp0iFC4pJCv
gwjiSIqgLXjcbqxa3LhjTQxMpwgXfBgSuIUUvgx05GrPNep4FG/pQjwbSjZnye+HrjMHa89YJpR5
V/ISX94Lm8IUrLf5irrGZ3j4pCwsDaiF7J+XutzLL8Ee5T5VEn6rxHw+HcdFyfuomieb995qQPmv
tIHEsNA/UnYCcjHffbUkqNW6QJjTXakWCDmbBDlrj2JhSzAt7TrzXZ8SwuCqcuf5qNn5LSKIKl5k
NTGxo+BRyW+E38QzlWmQPYYYDVYmLDYgurGOU8uOUq09MJW+6fmTM18nnQt/GTC2Q5bHVdVKkdeL
tfxanzhfqxSIFszujTXLg/hathhfi5d0ApZNjpAFhyKwY0luN0ROueJs+OxoI3KFdgOz3YTcqSuO
u2WOgjijorvPivOO/5+Q6VKIm1FR4AlYMup4rOlNBYTqFC0+Udz4UhHky9Z9qheY8pJRc2ML219x
tREZGGDPT4pCHykePduQ+YafTZuORGj1Gdj6RPHrA0WyjzBQniJFt5fB0F0k9LDtJsW+r4AodutW
EfE1Zs+dkQ+fpqLlt0k7hK0i6Bug9Meebx+Pu3aDLRGXcIsYkCr2Psufj0CDxj+0Um4qRegXoPq5
rCEsOllxzRSYb4wvor82p5uAKNLOVrz/fOycHc7tj5J5Y4cBlslD9QNAL4kv+JtbVplqD/BrjxXV
TKNApFN00+l4/irVN2B9VQ8YHoieUvURNDNDWU0qZdWpyoPe18RRclcfY0mXQZBQBqZm0l2Dd3nD
Nw+oSOd8piTVKEJNPrFHWjvlBac8QbUlZEGT8GTx7VeYO/mKBl9eQorjFZc0LbSNPVIFr+oXMtXE
kAFReeUzF18IrBd7yaTWb5Kv+obJoskBr7jIPgtM1XsC/eZNbRB9Nn2vO/bRwqhmNWkoIE8VmhHD
eQVGVbH92tbwqcgtxaG+RPTuBrLGyEKSGZqVFrePhcJbRQp0lZQLzcEKfpXpYLA8eFgGXKxMAbLm
ACqUqaBZ8+Dj0236VbMMN6miajlukYbM6+0hGNyPBPQW2t5WKhbXBJRLKjqXA6YL0vlFYRdPkyu9
HQ5JNyxKoQ6R4MRfxWEA9lXzOdWUSNSX/r3uO9ctWLBG8cEqQGGebr+ZgMOYJpDuxXTdL8I/+MDF
aiBjHfiZ9os61uPnaAGR0VubUh+RQvYxlwwEGK54n5pAifQk/OQ21oWz8mLiT4OinDn68n3KsEJL
AGgpILQcIJpvyZM2We16Vqy0KUjFCqYDCRhFUrOrIH3NfNa8bt5n+9gaU5Z+g0VENrAvXIh5Kxv8
G6Nx+Rp0DmeWPlQb12qva6ndMRkpk2qeXsTVwEe5jhnCWT7wR9J6Gm6pD20mzqSolvFNaQR4aPi4
3HyVVCx6FJHJ4l/aN06yyUAf73QM/rdFLJq1D6OJ0J8AkpW5rBOcKdg1tjFvlizxVf1pwQnjzbtp
YJsfdam1TsHPwvTIcB0L55N31rLO7eWAG/eMF+AI8OKSdqVyw4rXhJOE9djSm2ib08u8TTxH3xVR
RFEquPS96U7OOmNBnibFEkZpau5MSwXqMv60ScmnljeFAqzxtENBVgEdTimdDN1OVvyXOmJ0VMw5
hl1puDsNnBAPS6LUbUzerirxiHFMDf/5VH/eZah6r78fde6+v9EgzGLzLzI96it/HXewx6hpQkVv
Mc6oJeaPfQbjDloerpVf/h++6jc9jwopbmW1cmSdiSX1130Geh5jEGADx+eD8y/3m3/hnPEYuNSf
jmwRy5E/F0FZ2Vh11AgDVip87HNDivY7JtmmyUa6rad+S1dBx+fSscdnmZXHpuMj4eq+t6LsOw2j
OYZKXPkGDewu2D/2euVcecADUu0IM+W7E5nLFYm3D5SfjlpooiNNEd1Zg+aeqpFrZx6tlo/r2F6R
Tt9kcfLQ00sg9You3sC/KHvzgsDPZz7NDzIpLzw7P7eFYEAy90GKkz3IuBvSkpqfrKD+hphnsZ50
myiuoubajvuRefY36Wov+ah9oF7Rpqv4bZAuJwD95TsAMwQAXbvqdRYVxPKUCofhdAzc1zmh/5WA
gwGXaqT7nXb6NQ6Ch6Ssb0w3pt5a4KeZbS7roR83sSBGfIrTg9tYt23nnqwi+lggFs7VtWs0ck1v
w1UVuNtlyh5LcLiRGb0llXM/OpCz9Oxzju0GUcW88Wl9B1pJAdEYd1gLe8qVB4hsQ5EUENTJR7UB
Z6tw57sSq/y696S9R3+DXlgkYqNXg8e0BdmzhKUVdhHpKo7Fbg0QaJ8nNvOqZu3onMhuHaMw2QMX
XF4zRDMjBeTu1LR/i5aNBFf4GOa+0Vzg172tAWWvbK3Wd9j0Do5upGth9ekW5cPZD1Ew5w9VrHnx
yeyW8pFsCqungs0Lf33jEk4W4+w4pUwqjv/ZBcl+SsZz0sPlsEqioac+6rvgRVCl+070w9MIeaB1
prYRbZ3ONUAMpVPIbTWEsTlX28aW9alczPQbjtQH0afTHnHqJQePwCUN0FfambnWmoF12ezfB5U8
WCWFwSIadgVYoz2pyG/awPE76NLaTBFS7ihJS5Y2DE+vM6tzVwXrVufv0urG0wTH7Z6fABzRcDwU
iG+6rmZe/P4gm3v41K8dNPujl5sAK7PkozGYFhZ71jcpUHKNahQ83MPEX71jEBbqh70YIrE3hVvc
tW5b0OLuVfe5OTP1GvAxR7u5r33k697VVsvAIjxOHRqy6H4ZIpxTmTVgzqzns6ThPtQsMYUl+aiN
k5ry2LsGttg0ci/6Wf8+RU3YJvLBn2mUtip9JvYMHj22A6beydYATwYYrDKJnWdpo3Xq99WOzFj+
lrPN2heDZHjH0JXLZNqP2G83oldoNoF/dgX9RtxIy4DyGluAOcb5quPph+6nESGpUz6Z5Si2FIZP
696supPmI9J3iFx42KZl83UM//f0tli1/NN9pBBryiLyF89vvvLX+4iOi8DlEU14Qrlq/ujkhDeE
aOLxQHd1Zdf8cR+5P+H8NFnK/Hhi/3oduT8ZeD552bj0Jn/h2v7V65tF1R9f34HpGNDa2GbBiOBh
/8fXdzfMDjqar1HcAom1qA8jLWZYzFyARUZfw96Z91pnW2GWlDfcQgFpRcLsss0fWXrU6yLraVMi
9MYiNgt1eMQrU87Rum19uU677hUfzgOU85dGb08zThP2t/4lLjOxsUGNRw105EDsSoNUKDTRWwwy
bei01hvL2nD0XEiJln4TwN1ZST9yYPeIR33yPifbnbaZbO5KM/ummuc2S75gBdW8ZVMGODaHZlin
RgM7nXBaFjfk82oNzjpJMkMTO5lrnKyRBZx9gLS/eJLmnqjmPpMIBetosl+aYtTmG16W/rilwU0C
Ja1VcwxNUnpDLsmgYiYgk8pqPNg2qn5mVEU0JscX6TRrM6qSGlZs14OqrQmAX5aqyGbQs/eeZhse
eAFFIL6zsvor0HFmV3u466jC4dFKYQ3tOJ6qycFp+pKp4pwpoBBqJp8fdvV4dKOuu2j16rU1k0xA
gUpqfQMfnSvZLW3zps3jHEODB1lmBiSfjJvcQ4sgAa+r6/qpsusHHng17oKpvuT2n0PNCzaVF5yt
uDlURX3VGd2uZOdYBN7F5ERP6EgEgXNrpjk726Ju6wdjIBuZ8N+9sfrJDCMX/K5eYObhz/Pox316
Mabs+AnWSSyFEaKrtMpz5Ov3hV9AVW886n9c72iXaZ+DHWhTeEuaWWxE4bowsaV/Wsz5Ru9IU+pu
hzZCGRBBVv0uHuebqBXVahHWuY2DrTaZYJjcGyfzDlGx7PIRBpG+dOuxj+97vzxPwbgzJxMDpj6G
dsl3HgdXkjnDwS6zR8er7yGl7iRXG1nYeBWIbj8N8X1D9FrI9E6Uw1PaG3tjIoyJmanBccumCyDu
boIpsdUNMpGTN1+6Va0f+ZbT0jdkHxlPuVHwZ9Pm2NlAeoU+YYImWnhZLs6LKRA0lEbbD8VpiaPb
0mmbw0xn0SUe0Lt0kK+V1m3K7l4McIeDNriJk2zd8GyqmuVCuMaDHmRyndXZrkvFnkgpT2ckqLTL
X8ohJoXi8TrDXryy2madNDG5EQ3BuJ3l9yAyAKWW2Nfc5UrqzAa6/2hymdWdtq6NiTe782o1urum
Ke1uiZOzNOzHVsjLxDEeilY3NrrJsg0Mapjm2lWkBzts09CdeGyD834dQT7zEosug3iWKwJMx6Lg
twH7lf3Q40IrD348XI59deR3LptpsqwLr2bZlvuyMLdGys7HXbSqvE10nEorQsjPGU1ZlYPvQzj6
56J1+zwdn7tAbmXArs/nj2D5Lz380XIg/Fxzu1vGQFeDtRdx8zR7SmFRI6i03UvfHG59o6VRYJKI
7cJ6SgdxkB3uVG2MyNrbN1YWHwig3Zg8oVnMjidnZCMyORVcYR71gWgoqvR2qZ8/ZmZ+GevdN68i
blFARusTe202xSnhZUqx42Ne2nc0b3rsxsY3u+SjposT6W8eA2zG4hmtP0vHfWG2RyDKt/yQXNQD
42wiIF5E5Ig8wrUD6fXSbKk7sYvt2OnI+BIMiHHUeOmuWqkdbLYZOrW/PXUy5SL3cnTWAd2gU9DD
o1huWEpgsCnbk2WJ49TwI+szgJVd8Y2+lZccJgg25kMv7I/Obi7Q1Q7wNx/GLr1z/O4eb2mBlBJt
RychleK/5noDKY396VLWh8gk+dpXFxVoR2YOeUrq/Jgu1ctUWHeBSuYTJFkZdauHGZAfe0y3VdOc
Hfhhqed//jebMEQ4XyHHf55N1ulH/FejCQuaH6OJ4f6k+1z+v6QwFSLqx1MZKzACvx/AqEKWt5Rh
8MdoYv2EZq+Glt+mlh+bAfMn5hxLdbPSwPBvZ5O/sv7ZlPL6loWXJjDQzP44m6SgU7sEhPvJ8F2E
ModqwrgPB9fJL8oUnpIZGuPioTLbemPScFLNy91QR2QAKk5PUBUwiVUvESkxvX3JvMIwrqXREfHM
xrmhT2qsgnNZ98tFbA1Femj72byHF6I5B6PThQa6nBVmGVnRRT67oPFNih+Nu9QLChwn8VJ0b0EV
u/LEDlo4N8o6P4KA+oAcgcZfpZCmB9sfIDMpl2vwZXjt27k/2AX1ANTUJvmyiZR3cbE9OEVem+hH
U3kbRdtmhPIropnJFLShaEW/GfQ5PTr9DI8pWhpOiiAKvg8dVAKkgUguO8/mXMc8NlwnpvMd5uSL
l8dvmcsZjMEfN4DrfDR9+UHyw+BtXbb2u+wxeuhVaLaxPFSL7mz7XBtepBvTr2vqCA4yHwzilBKl
k1P90dB4XgS5jN4mVtp7mm3MA/XAySU4sXKfG8K7wkHI8rJp2h3ZhjoUPF9YjVcIuT4iM1rfwoqd
YqCka9YuhjfqEiLgJeXRH4I6dCLhnRhKl0Nuo1akZsCchg0De0G5ErEirM9+hskRd59X5evGDz6g
Vmk7f1z2hcGRin9zN0cSw0ZX5qs4gnFAleyTnVBrnMtlXHmus6uNYFoNFJH1iZBXuTX1oZ7wfAwK
hZByPGeTaY15Jg2b3+EhtW5hLVYfmW6Li7JNq0eIDQJnYftezWN2/O/U+jq1nH/ML9xDfuU+/7/P
KfVlP84s7HoY67B0Kazhn7aZ1k849ZyvR5HJMfdjlUlfDK9fD6ce6p6S8H7T9oKf+HWd54/BYaf/
yyQ6gOU/P6agBQV4/syA/+GP8qcDizFlctu2K68ro7HtU2cOJOFmxd9hyJ+lGaymaST2BWj+rR3L
l0Vh27GO3MFCoePOe50ZLTYNhHdBkWerkO+9Kn4abO9K74HNaAoMXzeMlJGCxeOLSLZmg1eGue4K
NheY0THpwyyqz93cv2sqaO4E8t1WIPoEqMqg0PRUER4nBau3guykQa8Xeu2sawW0T+CWrVnSFIhs
4l2r8a2JQbyOcDuXMp93LJJftcnYJrI3iFDHe8/rgazlcLIVS99p5TNh5W8FgK8wA7dvOf1TzAW0
gw/r7wzU13OcQue3jaBfsV8VGwN0P2miekesj4Y2lA10+HNtQ5pLFvOOqbpd4bS+mUz9otSdD7un
qkrI7x3VXLY5k7bXCAn7RKqCnt8d7EtdPA1E6etpcNdVHj/VnfsUZK+WrNe6bb11QfAmzO4slvTR
qae33PbLNQ7QZU0I7BpFlZ2eI/dlkrLt6jUeGNoQAxVL71g/XJHTuFqsNgoBuCIRmqwHqbMqD5nR
tSvHUElj3b7WHFkcW7XddDS4tATtj1nixjvWpu62jRkI20EH3Dd9g2R4YUo8eoHXX/g1RB2dwpFm
toNwzlv/IJrK3M295HjL6rVQNpoG0/Iu9xKxznRc7e4YTRtnMAmqw9cPvdlkzpUPke9ti3S4dvXh
rNNaFqI4tTthVyRATGKIeY6nhSciBXB0y8kFC7ouDkhlxJxN2Kp80KJQ8tCEC3+V8K3gd4rXDFHS
HZ1rDJqHOMMa5ZrZzs5q4HTw24ypWuWL+61nNaWX8UNX9x/UNWn/j73zWo4cyZbtr5wfQBtEQL1m
IiVTUJNVLzCyioRGQCOArz8LNdMz1eL0tb7P/ThtQ2aRzETs8O2+HN8d5bh2D6FtqP14i876WqZc
R4i0HIEZvWg9a9m8HZ80CgbWfCm89FyrN9aQPUyaye3SdKCvGPKzoExlncjqjOvkmgnG+G5S5sqT
I516w7hRnpJX6vvAHKSNx7Uo4Vaa+XvuGyS2rUa9dSFCHBuoEHGYU9jK0pc+C9w8ebI6ojoeNtUN
n7VAgPlbex19xPTFliv25tVeGWa4trjewVk6C1LcQZGyk5pp+eQYiDdTWc+Ba1LUsoC1yLU6GOWt
Zg39EleofMtUTbO6pT8I66hNlCxwpmkROq/bbqxJpQH1JxuPm7nuuJ8wN7AcueKzmfUvfuuf9DG/
VNP0YDrEnexWizfORAJvKur7uG/fcsHqO5kOsNqPove5zhjA7nnvpdTFLDn+6dNsm6+R1t+MsrvL
K+1MgRn0vLIL5kydLX9Qa/hZsITLpRC7Ry/s/XhYN133WS00qlyNZgB46y2pm68MbRCKpZaBWFA1
/R8e0idrOhbSmrfOU/HKU5dG54nujiF3vnVsWVaGYyYBD+SbVmvULmr7fhvPw7FDiIG/GN07sXrD
XMfOQmTcX+qW8H0EFrgV9d4pnKDG8cuRrR46m4U9+KtNruIRhsdyJyzthg+d5CPhOeecFumNVCFN
E1bJniVUa1eLHvBGXGXlP/gh7EBFRaVTLoPAlN+HVXWJIqPeRp2XvzYjgKZwHE4aqxy2AMsH205f
4O12K2cYsy2PVYEsHr+rUuL1ENTxjeWRB/r9JOSwr/UCc5jZ37E6B1sG4HcgRLeLcSKuh9aCHuHI
x9Arj3HoiHVW56c2Hu4SW5RUBuBgSCwQFbIxNhBA+dpheLCd1NvPZf/eSu6+Pqr6yizNGOW71kBW
aJ++oGyGcSbZeT6ts5N8dyw+23UOT0kUHvUbimQJ/K/yorP1XZGwe6WjIFx3HjyuYlJkVE32nZB5
iGzxzLarUqdIVIfZ3Mn33se3VvFGGkMYi10EvI0/+YrjrlmPloV6o/RoC6KF3+mQOAekDoD+gl0M
Ox0+NDYd4mJ4iqfsbuRMpMzZk/xi2nTFtBVx3554u3lLQXvKf0MdSk6VNo9sd9PzBOeKTgcXdqmO
ZK5lzhOD8G4ButnSvkXe+1B0FDDnpa8OhUgoCxpvvb48gaap0TYJnXk6nQZuudcN49DlVbMWk9lv
MqLSr2DI80M710+WyQeffe+LNokr8+73sc7BfqZPHPY6yLWWXiTPP7RJdGUefeROvbc0QEVcy9Uq
7yWFDoLOdchybjmB6htw4+I3hyXlut8S2OUBeFg6fGRF2aT07o2wqDc2FUxsAVS5qSoaI4a8Dw96
M705Gm+GLh7MLe7zR1Vi/fBC7ZhE0RvopiDCVbxSabWTNQbC0q1u6dE0VtLXI7AX9rcK5WnL9uSL
0BN3ldbOrd47z5JIUFjlaj9H1meqU7FlDagOptnE1LiV8dZx88W9CjxPlxNvv5SrgpFM/qqejS9O
O1x8geF9rvjDNjD2gngiu5y607h2tPRNh/KX0Q+07pIwXdcDnLoh51fdNbtpZmvXW3aKAprt04jZ
O/EgAwMuAdFqLq2RaQMozPe+w/1g3+ZFzXYwLH0ti2EIpD5ReDUvT1XnBc+xQbac8oqi1h6Z4J9o
ACNrmfhrOeZEzw06aXqvW0etxHki4ofOAZEH1OfQR3h1Ct1/EmUPzhW51Wq7BQGvsVN0+DxZpCBU
pOWBmZUHjclp6fDQscu27yDhyWpznvPb4ghJ9zXtXGscyx8j4Xitcj4dnVSD5XEIFC57PD8j6FTE
gZmb34apufE5yWmZtb8RjdzVXo9uGxlQcawSfWYQa+VkL1FRtOtaNeba6511qhUEI94pYT8xGOAK
YRu4Mvr0WNl4rKo+JT+UoLrU3HI8L/sSURMCazh9NIAKr6peu3dpFUDwkgfhjy+KmQsvw1xRwCnL
Td1Z0Xqy8dEXWc2Pw4qZwrCGqlgpbryaqjlvWpIL8Av53H1CpsGLTzxkE2XWlu3tazXw0Y0b4y6P
yoa+L+tsOQkdcnbarPqsenAS/ka2CzMMpgjP6aY8K9GU28ahlNfrvuEvJ9uRdC+1IuVb9PrTDCpI
TfmjCYAyGFseqa7+Pgzovx6u15XP4jWQeX+q2mZb6mTU9KlFXa90VnNO+uEzGwOyh/6kyo+5aI6z
j0kHet/BNMtXJAU2t+lTNQBMaJny3IxHHzzNfh37eH0kWZWg7t2drppPJ2akc6WifoWZb0hJkhFP
6d3yEGJpibPyDbjDe9r1MOJrFInOCCIM8eFQclJa9X6q3XsVGxtlk/YLa/lAp9UeNMHBtzWWnCmm
IIvoLOG/yeKej8cQx9ypUfKAKWCd2/pgHtvUAHUXuWZ2l5ez8zrJxPEutcbO5i63u2oIJs8BNFlp
x3/uoD/uoIIU618oZ2SgPpo/XkGXr/rPFRTXrCGMn6+av8pmOEx8IlyUfxgGodolzPWrbAaAhUaS
RUyjzJ4LLL6UX2UzgLKk3nWdoc4gbeb+rcQYwbDf30LdJXWLGi6gq+HN/p0le2AqoH/Zn65QYtqt
ruXlphU6D/TM8sL6Bs+CAjg22Nyb7LCszuPYP3BD3dlehmLbzKTqY90+qZKpbkiZY/tWHAV573U+
We3WNDowXHKUezwk1Z0pWAc6otNu0NRtbFzy1Z+NdK3Z+reyZkQ04vmuSGibCEdJlX01cO+M3Ct8
9mFdSvhaUeVmjPQjmBYPebin3xnzlHmXWVp+GIqxB21tb/Qmtveaq0jPWpSG49wsPVZHpb1Oquxe
GN7HmNUPcpkaCgo5G93R6D/V1DHy6e+bO7+6cv59xYoMpYvvEpIvApEwgoqmo1SVOQ2Q/lkX/Gos
9G3wund6Nj8XffUEAeYGy/FXHQtHWhX8Y+eRMj8vPQkbT8sS0por7/vs59ka/2u99szhZnKBmwFX
49LeA1GKWVf6mE+ymMHO9uQ2xMfgavW5NKvXlFrSlQsUEypAAffRnt7nxLwAfuF/eNV9Ekc8gFOr
9m5by4MEg/OQzEbM64U6fpG6gTFuNOzF5M6Exqb7487Uu5t+ibY088fsecQB3OGmVFzv3OYHpncC
+9S3FaMhNILGGyumNc7Q0RQvFbuoXuNcr0W1GZRpB+30EbrOxjQBjJlhtIiLn70bAVjN7DKg0VZu
Db0DNpybt2EzOWhsVHVXaXUXN/Obx1V4ZVCxt45z6awb0eL4dNg1m91zmsq7Xi9o5XJg1y4g17ne
UmbCaWJREmA4NHVFL11Z0alZtDdRQ+XkoHHv9Rzerh4IP9zfURe4E/xWNy8JHBQtGkdEwCup/Wfa
nejxjGqIdM5NOHpwYuhJDGDPvAG6XTBZ8s1V3NFaRY93q4XzPuyIkuFFz7h7CGpaTCh0ujFXgRKR
oPMyenBDl/eUtMy9WRTYaKRa92XGOlfNFIjUbJjocAAJPN45Rgxk1AppLSm8Da6aU+GYe1z63XqI
fPrLWy6+GjWTbgyhneXRyqmYuOwRQSjN1VVCsWhk18DYyb4R7XhJCwvz73ibLk0uRlR8oIfR30u+
qRm9C4tIfZN6bCjDFu6uP7W3VmV9h7pKGqaK91Y+vY+pf1Fm+ZDQHLQu7PlLXnfc5DQ7IlmWptsq
apgAQ+cLs9OdGXEuE9D6SOeBI80Md3MPotDMNYdpe0lLRcmDjCO2e1GSb6AavpSjfKFUDUFhEG+N
nn4FU8/Gp5M4cUE9rxIJk0N6z1RQ3BjRcPT8QoceZNMYgRqAjXrNIL0ebMNA4ta+oJjvoAWdZEMR
8ugybZNDf+1mkyVhZPn7oQI40RaUH4yw3biP+OJqZtLjjF2MTf8ci/9aKLHh+YtjkT7BU5+0/3N9
T9rqz9ZKfPmv5yPodMwu5IF8U/eQW1FBfzofLR6qFoEAHay/jk/m1/PRpoWbr0E9tTxWUosZ5tfz
Ufzi+S5fhuDx72XU37C8LBrsb+ImHL9g1UlU8/04JBcN96c6wYZjvUUvjq4RJAJITIn4d9j+/+z2
Ec5vdWCKVXyi2nwjh5uy6/2oKP/5NQpD6n6VT+oSZe6BfQyBRtNMm61bqLOycJUHy/VwN6MZbSAE
4xwx0HkfzK5KeJB3vnPmGe23EKvD+tw3mge4rOcie3boFVMbgWsnCvTKwOvSjvpGVqNe4TIsQHyD
EN8p2gx33DPNzWg4xq6JRb1p5ZjuLIe9dDk4tyk0mV0FCzPoJR7KBGiiiZlSptquLMZZPpTNHH8W
ALu2lgFdAsI2UYQNaBZhpuxI+F8bJG5cN7EodOuBxzMWgKpW9V2H97pJ6nk7cwldaSp+tSqDeF8M
ohJJj4wtAZGh3uHtOY29g4rcaZc+Hp7tzHqs/fahyeYTzPBnxyYi7TkUr2aJOHG/2USiPsVxCvMi
yg5GA440Us7NuIh2OkncIaIINkHy0lHdZzkd8Qd8qdJ0ot3adbjO1tcGfvzeL2O0Qv09drKJNKfl
rkUoZo4eg0gAI8rk+5sJh8sKKqq5igh+bjuliHZb4XxTT9XNEGo7VWRUNyTRrsjthhLbGQmGMO6Y
nAu2RZvQErRG0AQ8z80hJMoYw4DfpQT5gkjLDs281Ke0xqFsFcd2XDzIpruJLbzjyCDOt2nI6AlH
xl3jdd6qireqMpKNwE1KDLkMiiE8qKom1F4mwO2Im2cs0hCY0I+j1H6wBdc2S4l+D9mNszb0CQSF
gh3X1J1rZ0Aw8pvDgMeXK4/+IZz+OwF7D/KyU9xYfoE3Ks7s5K4q0cZB9Cf2Guw1mHlDO/rsQHet
p39DfzjMDjZew33qWMABEnMIJDbUAHtc9I3TXHh3Q1lufVyhULI3raGtCwdKLNaOnTd25JEtfvF2
uZT/Di/GzLahsqMA2uXX2RnOUqeDLGnU0c7125lvOhiYOsjszsIgRaS9mS1oXU0d8N2erFDb++6z
Cr9Kbz5SyeFtbcqOG9d+QrngTqjeB3asfed1uI2yk03/dhRyqbPMjORC5n/JI/OLhfcOspNx8gXg
tFFc63g/FSJexzNhCZvRhPKDR0+1TyIbIN1m1NfF0a0Y8IGRjCI3MSQQ7bIDczk4lsF4rrT4kRz3
k1YtZT/j1o2qT2a0Y+1rR6UoSCb4cGTbu8sdhBcyMoElDSxJvejuxZge+flu7FT/ioGbSJqV45eS
eLJMq0ovkG6zvdIK84scPfe19SQ8BTVNIXJ8mN2rEFyiUrlBjCpsaA/u4qDWsgwT1dIH1E2UFJka
JDw+FoSv7eTSi6U8O28GOvh69kp8woi0kD72MVt7dei9z5AbCX87z1prOpuhdS5hXNH8nNOa1wm/
5c2MFDhQRnAzeUtJk2nfd7oOjqUe6yAaKg8ZP70ZJD7qKhtX6Sir1VC10TbzBdrdQ8pfnis40rqr
uP17Vu6cwwr7mpoJXmeUMYsIVo1TTzEfOcxywn7Uo4oEeTpRdzxFp7QwZlDm4V22qJbKZx2WBl5q
UkKj6Q+hw1/Zqr7SvADVJt0PaffpNuM1t+cUpSVmvzzmX8wUYdpxv0qi071HbFoYSPXhmCKctFw8
ELxObWgH05RQE+du0tr8DuVB7Sra7dNy+DKQLrNFV+EPg3LZiW3V8GfORsjS7otRts92X77YhiSW
rtIHlU+n0h/3XY19TxvTlyieDsnIR1Sp8xAWu6igakDPnfuum69MkV9UbF9kKtaeGF5GkCAUSh4T
dx62g/B5WOjNmr/GpnSyr8hTLaZ9hzUNBc0qR+LpvOQQtQrRAab6OrWdB/g4/AZz7IZR6T7WQ3Ls
LODzbaLT9hXf1CH3Ny0pb5Nk7vYyjV5s1I0V7qW9Te6Zxw1hKDYIJT99Ebsnr3fpdoiORmd/8REp
wlmuKy+7Wra3xwO1amEBMVdnbxpjGnVI+z6fic304Rvt0Ed+10GCHrryTZ9NxnTXou6sU9EeU13b
N7bzNcRxNKDciG54oFUywN86bwlKyFWRxLe6UJ/ci+DZYzvSBRVeJrXiVF1C2qgfi7IjMlTK/UBt
0p7hczpxlw9S0zyROf/qhPJGb9AlAUV2pNp1YyWFGG+x6oJLaCILybh5LUH5bzXdu3LV4s5U1vXC
EuY2EatiazvOtyRHvqr1SHuF1sn7Bfv7ZiKIxMUgyb8rTO3sgYoYRv5knkc6FP/lfPo/h5Dlkv/f
MWcZQeD0gUNfVIqlX5BJ6+cRxMhsA8RIqF3S9MnJnjP/Xdj/ylz/f7/EMmn9NElNvIudDGM82wRm
fffaV1eV3v40ZmJM+31PIqrIn/wYjo4ZCaUeGs9vX8M0+wl6DXI7uy8ejte5Oyn1SCHWX78Mas4f
XmbJIQvTIiBEOue3LxPJdLLcbIiuPSbEGgpMa/I5rJ96cTuiqTst9y/7H4Xt3zkufnt/fZU4yre6
/7OaX4sv/fUaYeq/YPoysIxDpDR+A6ZDZrM9hyPUpYUZ5Yw/56/XCGp+uc+YrsVlAYDFYrf/9Rrh
/oI09+9vRkDsb8bWl3fefz9gWOCY7X3hOMS4LIS738fWXUZOpcTUXCcNsFi1MikDQlFBFYLuHpfX
RDhnGI/xxbGbHURG+w7SKRTISL+3QnGfNf2H1DGhKRUf0gGsiGtsB6s/ZdSKacN8zEvj5JXwUEwX
qUCo96myTjrVaiurLy6wqbZh5LI01LacUXfEX57ciRNFdWtEPhxR3qqBRQ9L8ZDRgxNr2pJhtA62
Fz83LGu4J8Bhyi/9lASDr1/UErfyHYUVdN4tqwW6hZ9szgqNn2iTN+O7n3TnkJRu11hfrQirW9cd
y9DZdpZ/M4iaOSC++LBmiKnQ4lpdepPWE1mf8T6/uIKgpGFcfCYkLZPX1EgvUjM2Q0/cp52DWB/A
Q7W3cdyfo3FaD9LbibHfcPijbRA29T/bxjc3RTqi1Pc9qr73xj5wRb/pS5oOB631WbC2tI7M5DDT
oKhmhJTmYWpZw4UqudJKuM9YHRgpq8O22M9Te1943XtpKpJC5QXU5mlwir0998eimfZ9zf6VUc1N
qwvN9JuZ3jkrEvfuwhIixL/vXIgvIh/PWQ+Ax5hw7IbZmyXFvV856xgSIQtBHopad4rMIpijgam/
hCmj3ae+Ohh6+CyKifCDtXGoQ1yx2WZwXrYXoV6vF3MukJZx64y1usunPgxQ/t/cgawE16ydV4FS
iVSFWxtPXTGqdxoSOfibBqvjpp38EWdh6zXpHpxpfOgk6PqrmGcFu0Y4pbUbGvJ+PvV/wbAky5aI
mawxF1GHfp/JrjqWDqWa7RJJM3LDOit7HoJhwkuQqwSuPzTSAJZnem8aJghUdCss6/u0NFqUSN/b
8CNRa0xf5tpYonFpxfqtW+Jy/RKcY0eCpkiWLhFTHXTwZKCl0Cs0L5E7WdWk/0nheU2nb0CITShh
VPx6E8Vk6ee4RPd8zXzUkFOlZwVkrK6zaW8FWT+4T2yMkURBN34ABzuT5X3RMLin52YJDPL/Zc0H
rnllkSZMllShpDaKNWlQDeyRwiV6iLGaGbkS7xEFaSt9CShWbY1KLPwLKxoqjgEs+ww8q0H0xWK5
qoPM9D6iyv9aTuaTTQaSfz+pfKlzjVsCklaFU4VIcRXYJccL3R8seisDrmETWF5yHUhawuZ/FmpC
V9WPKUlMyo0obtL6TUJGM5nNjV/k9QVnY70tliCnuUQ6JdnOsoojSjOydmPGg4VbjOllNMrXEexr
0NYFPi5247pCFnehbWzTTB1CjeuojqOdvSNIC26Qeaeuie6+LzclBZp51aiC963rEPLDP+7G+T7y
MMWatbn1KgLT6OS7UJqvXc1+mccUCitNHKxXV72TvE6RxTfXxLckrKF9wdMglPqusfLk4jCtVagH
dRm+WMT41pPf8g164rAwerjomMvCGABUUz3G5EUCPZ2mjaK6C+pF+GotbKSwCl3eX9aW+pYao+7I
RzTJWBFLPpYooaxQLeuz0E21G8LIx2vWoBNTlDUW9YEp1uHfNhwrr72qgqT8xNbDK6zDGGN26obn
UteP3ejNVCnA8Ew0bC29rk5ZrD+MUXdjl/GjMVGWNKR4zJoUIVqMVuAo7ZT0ngH0N3tCdiFZTsIl
wO5HiVXMxnCLrSSK15qk6pZ6OR2T0hAfBInOOB9Y4uuettORhcivctkp20JuVc8WMJtwF2M+cA2V
3yUsOdY/juB/MnwCT/tfziLd2/+scRz/ycaPr/zPKLLMG4iFLOd8BojfZPhM9npE1nDkw8Bednf/
GUXcX0xALUzirg0oFyv9f0cR5xePCQLixeJqN5Zl4N9QNKmr/OMswlqRawWWUwaP3zcg+aEmgbp6
1bXk2bxFBWf/heUAq1b5kjSWt0F8NJhpCf7mmYsuYXeH2jY+B0lXnCyK8Thiswepk7Ee1/t9JKMN
8ruNQ04Seit70l5Y8lI3fR/DhugbBneqyFha5d1QblykI/qMJv82rosnu2H7UI/WBOZ2Pk0ZZ1zU
ybWevISp9VgUSXl1lySYXDJh/ZIO09G2jgWBsVBAT8l8/86jum3FO/+DqF6/hdo4Ppa1v3dIiqWV
mrY6ZhmtVfe1QY5eVvkBZRH+Iwx7Ue9snBmsD6ivcZd2ej74kB7Pre3O7G6sXab79BdH7TdW7zN7
omjYuPMEVDMJd1FSPxDR3caKzy6MetahTXIYcverYeDjHNV4GaIFZTJH+PnoNIM0sQfoZQQq6+Mg
b5bw+nwfRsa0tzWDX02fDDd5gnuhsMEuVsnR97IlxYbBsdO+p2nO06XmKk0h3W6cKQauQxepZsjw
ysUa1U+Aa/vcu7UiCmIxKJKLXzSIzrrnSL2X7XfTk58u366f+JUlNb6G2GjfYtJ5pNBJ1wm3wwVp
mSsEI4NTj7xiPmDKygUF1lO7p833Hh1a3taFca5VqjZ6bVSbxJZtwH7Z3M2m+Sjmxc0y+IGn2U8V
JU7HekiZpzg2nTq84KYcGDuzbZjkN5g+b8dQBh0NvflYbqUC7mvYyYsvWrErFbTkcPHE+Hm9nRO8
/vX0yiG8FeXwVYxTdSis4X5oNdbB8/jBK6uNsvKPwa2NK/gAa1Ub0y1gP8L8WXz2ey08DVbzbjSh
u+oaw+QIKp2vsVa4G7o0fQq2ypYmiHlrZ+wKeVZj8xs0WpQj2d6pVtJS4U5R5/MLAhuPpv/dq7zx
OGDi8kJ321Rq31nhdrItcAJh88UX2JvEVO5FVvESHPOME/tmxMjS2/yKvSjcaUU8P1mVpPvbZNi2
KvfBq52bzpg+8riGL5fZ93kYRzfOPGzmYriYmBgNUHSMOyiiZRt/T+fKZ25zvyvXjVZYiuhzoPSO
WF571+HM4YN4DqnWDhCvKkwy9I7CV6XgCp0c/DrvcI+kq5r4CkWnFrySaZsa4Wdehbd5M/WBKDqd
uaOnhKiHF4Xn+6Y2S30z6069j/o50IwBckN5HFOzDZLQ/JIC0mFN23WnWGj62cLZ9qHrYfYodVHt
88FDLDPyGEHkn9PpX0u3v/aisHQ7v3Uff7Zu+9mOQj0fkD3isMuO7Ael/T/rNgJZJoAl2/UtwXWZ
O+yv92T3F8pATZdbNMaT5Xj67+Hk/kKZn8Fn2+D6/MOp8jcOpz+s21zWgETZbdMlM2b+iEz8JBK1
/UjBjgOlUJe3TSQ2E87Fn47sP5GI+Jf+dBHnHNVZ13ENt/kJTd8WHLM/y1AgmjKrd/v+ivkTCfRZ
06++fdeKvREi3hBi3vz165m/Q9L/8RWXf9FPP5NJADhBz+uvKf46Nh7Lw2P68SCRyzNlbKR3HDq7
oqyOJ07rgMaFmVaHChtLV3SoxcsTigeheXAsAp1TXYnAaDlqLS8+2RJsnGdm66rRvw9a9ukr7bWc
i1tpmAI/GsyQNGqmdTnBzbLMmDg0WuOK4vqIR5Kza6c82eILssCvJ3IXwpxcJypJV27DCoOMF94A
MyHURMtqn9x7aA++jb3WTTA71yF/pRTPQwjvtR67QEx0DTrjXYiVBf3c2ktp3A4xkqpHP59OUD1L
oxvp/2ABPzUAvRgMvg6zdUuH0n5w53ZjUBaadHDQKu8YJ7bCCyPHLWvPlmrG6Sx7d35wO93nnLan
tnyQsLH2Tl2Bsy5rLJax1t3hN+U/9AXuuGseiVPH4vUCDw8ua4ucy3a0JobqnRzSeJooTuTKDyoj
meeHF03PLtPsvMA2wR5ADGLlW9a2MZNvwta/U0Fv47gRZ1WJY0j175BVpy4cN30/Heg9vtXnel2G
KNJqOoGwOfUebptuLvR1ZI837aC/1LRCCgE7oCjnJxuXNYVYU3ZJ+vK2zDoa8QiYzdlRl1REqcqB
wtEBzasVBk3aC3SAbPkGhvET+UOS5RouarOo+kPfjx20KhMCYlJPp5zC2y3g6pu84PI5XkXs3bc9
c51BRnIVx83WqIpjmCe3fak9jEO5jQkFr+i/3XiJv3KL7rsbk70znBRXx7jx+4LckDICVORApNNd
10uET05yB9ju2AxbyMdBh3hdGHogpYQvKm6LkH6lURE/7/JsuFdTfE8Ry6HBpcWx+QrQdK1cu3ms
MEutU9itJYgFeldAcZGkmUM0ewjWRjZ86HBYSyI6tcAtxhPsYBaps7ashJX4CJI1uo2T4SxsbKl2
sVO6vcndkoErvGlbyRYAr9rcUcmgXdDCA5PYMw+KuwnoAO559AiLdiqYPc+iaRe7SgHeDx5DaefT
PqPw/NDkEG24rpLM0o5ZOz+21QgdKe+448uHdAAqmKL9QjkHde6Zb36fvqWud5a4xfFd07tJTHzC
ZzNCvwkHb//Poffj0BNIsv/PK1n+9qcNeXzpT3cy7CUGHBQbmZi17E8uE/MXyCmC5LBNcBjT5c/H
HshSx+LEEz9wqOjNv8rD3Mn43JMpxJYC+YrI89859ow/uDBxsQDEABhmc/0jz/bbQ8I1IiPPG1te
TY9iDnOhYxjjImOA8VyZKjIOIwNzDkyjLPAAoqjFXwpAGyyQtx45fQmAw+3rQ2pr11kLNzpqIaka
V57yhdrBR+t50snY4HwOvBZd1dO6zQDqw2lCumi7GZFpIYDI1L1TkQXQAiZxpW9ymigwmdj4Rgyl
X6gzHfCei2EXh3G+zmweSqXexXTd+kD4GlJXEXVs9LLNoWT3rNty3ztjEdCodlFo0qtpwh6C09QO
YtUpoir600AVn5tOm9HsWtQ94h/gyZqV3djfHH7OdVXwfWufjCOIwB/KFNDSMv3mAyDbTCHV2D13
UcRrDAalCA95xZMBvX0jS3pyKXXLb2xbG09hQvYZtjH5niZ9IiDMkjLnjsQRdgXhtbYXrOI4EyRy
etKnNRzHrH5azD8VN8eVZY0noZJ6S55vUZTKPii1vGKljALrL0CwrO7PFS7GdTbJfDsPGjAr+2iX
JkX0w70PzHDZCdtAY4y9a8HfJyb4nczCOSrny2wWA3KnwNKaNq/5QpxeEiIUwpz62CPaRY50HWX9
WptR7WUWsoGVLCurLgXjbDqHtHPushCfpjW2Y2DO0aYmx7MdNfmtNs1khep6MS0gqbW24yZPXWty
ZSy5sSwWwoVob8iYTrxoe1snTrfiUm2sdVbzG8GitMXf0Kb9rqbfz7VjdH1faiQ2UkmKuwyySts1
qXabKdmeyXdiSaS3nAehc8/S8Yy9SW6aicCYKAR2QGoqEPtnelRE127STHdX+YjjI2ofFVWv2yEt
z5EIv071MG1zoqARJqzA7vRnURPNt2o3MHLa9+rOoTgxuouwYBhqkc0Vmq7/vXFGUD7cCrk7Ooeo
RjBnpXLq+vaayLbW7qR08/ljUnm2d5Et/ax6huZKP8VMy+siBJfEEY5p53+RmX7f2Q23vIlcPRmJ
OdoyjwVVOx79jmJG3byReXxJpDyqtL2UMr8dSlwTXPXgmIX9eHBC+xPnS88kNlpil/ShC4SgHOYH
05nPUc1kY5Ak2IIPU6vRcnhdsUPq3Y3LPDQxGI0MSI39pV3mpaL3n0pOauqcbxqzYfjqbIRIC2P0
fAsCHbUc3ZKUxh0PO7TNLjDpc2UdT21NyMBGfuXkLRNchrVFMtKhOi2cwIe5Us3KWaa+eJn/zIaK
EFG4Jc0JBgPQMidaDIzU30T7epkhzWWalMtcqfW8c8oKub9cps6C8dNjDHVF+SkZS4tlPqV+6HmG
tGAb2cIRZYa1l2lWXy7iiBTv3nI1p4j7nCyX9UnXb+mN4MOwXOThcn5Yy9Ve547fL5f9wlH3wIir
g4UOgC9ii3f8dUIf8NAJ/EUwKBbpwFtEBLA8L+UiK4AN3FbehMRLtrdqbn30Bx020byMMTbKRLpI
FImT7eUiWrioFx6rFF55WFu+eDQWgSNepI55ET2qRf6oNfOsFkHERRlhIN2rRSopF9HEzc2Vucgo
WFipcUNZ4WfFTpGRivOT+i1e5JduEWIoENkQSPuM/G8JOk2LXpMtwo3JR9BcpJwOTQfU4lZfRJ5w
kXsQtJvVsEhA45DuqLFku7XIQxM6UcK3I92zdLpQCYWSFIOaId+GuCQWmYk/KIKTqe4XH7tRVPRg
LqJU79Gg8EOmwrhwULiUQy3IPOsmxmdJqNH9ClgpOfA4JiaK4hVRTqDF9YOJFOYsmlgUO/1GLTqZ
j2CWmdSCaK21axYtbajrc7Soa6ygHnrkNjIG2P6tetcjxNlZdcHakx8qJDqyXvc6qW8ttKb/Ze88
lttItjT8Kh2zL0V5s5gbMfA0ICkaidSmAiKh8t7X08+XNN2kCOneHnCBiWjMYm40xQKYyDx5zG9A
R1gnGc08SaGr549Ds+ho9EUO45TKsj4DH8FIRkhI/ZNPPeVTVPW/yaf8TVVvdrS3+a1XqRROw+gT
EjdkxzIBYfzZQdA+yczKQcsy56aMp7h+7iDoyicIu6Q2osdNK0E0F55TKcTjEYbSYOoxhtf/7qjd
eDQTfjNq1/GaE71yACC0LBx67G/qbfHmeVzEFzLNz4mhM2FS9O4LCFIMyQvpPPepadnI6yjGSrcc
cMEeUCi2R4aRbW9viYmgf5xrihNcV5TCFhLJ4OE92r+2trLjZmHW7hyx5FXHpZUkcJo74Ds4MN9V
Ro2SOYWBBlyq6jnjFnTUutniFTTvGN7CauDaV3J6p/q9CfrWG5wA+cosmkpB0qzCvFxBTsSkxsMQ
x1iMKk7fGtYritGemmp2Y9Gk6FS/Ae+pB0uI9psYW1RVlm+ZihsLy3UbkLUJbFcl9nDgBf+om9Ux
k/52Ybv5Sa0CfNTCeeSHV27L/BQNrW7e5v3nFIW6SWXni85M5FXChzvR0OKfjnZHdy+FLUyT9NzR
4gcE0fPloMINDGD2gUF1r8s4o1cIx0BOO4mOZLiOdJzvAhRY0BPP46mfW7AWejyUrMGe47GJsXIN
vLWLb7heJWRSUgJQBgGE4WJqO8dKCwbBMuq1k6rXBXcpSfFnOhPSvBGoQ4A+zL7sH4okULBq+rn3
yZTx4LoLQ+VyqCBiAkOzCFtaMh1M7XpMgrsoLWZdzK2C/BZ4tCA4JRM/CQv5R1WN5iocewS4gmaY
o3/vUVRqn/E4+OqHfH4PeyjgGNk4NXOdnBYcYp5qOlJrIDPCCEhBPOtgOetBFRCEFTLQgPeR+wqj
YCdlLOLfomt72Zd6P83snPJWa5aeB023SOsBXQLHmHUhvxfjYENUjvRlkjXnWWYD/HP53iuSQaUv
kErI75QmOMW047QMnOBI8hTQvPCYISehee5UgzpNJJjnYZ0vXS07Q/PntAgMi7kHU0GvCs7kMLsr
wiJYFDFA3SYoIaukVPJ80E6QJ5UYTroiX6hqNc2NTkj1IDPkNUdVmt80UrvMqhSprmyBrqLDKDRA
z7dqnbluduQQsU+RIbe3YAm3VQtAJeyXXZAPQB3R6YDKcy4P/FWDdZHRNIL32l7ZUbyo5eNiPKvb
tYuhzCA7R16fnitGeqG27grA5TlyGOA2BnT5xPypaUgwM38k1aVkMhmSsEEDd2pKSIsUNG+ylIem
iZFP0XlOyNNpHyRy+wM/42jWJxpe0aKG16Lqe89gtsts8Bt9c5RJRUge7DhLJTWOfAWU4ojeHFcX
DZ6JjQLAEpgtM68ezQsU+LuFI9lkSIB6vd6vjzM3Cpm56/iBgeRs/Ogh09rbYmzuR6tDZaBCos3T
uouhoVRAfoiJdo0VDuGo1aYAPVXciby4PiH2CHeHnJu9LwA5pEl9ZKS0PRYaaFvjppUjG40A5JeX
jQ7aweuKFLl1CzuZud2g5DC3U0mHGt2qmr0C7TTk+MPCcjlDemZorhw5Ueqrzikl7aTpm+ykM9Bh
vMVYQm3PozpfZUJLIQ/pN2VCXyEQSgsFYvJK6V1WQoOhjvpjHWb0ohT6DLZknhhWjzImLA+k5817
rIgq2lcmanEIPEQSRhV+C+hckUfzWBM6EFGK4zn/HN9II/uWu/oGeUqMbWxUDbSx+AHYg9wLsUoS
ZlQmZKE3UdZI6Q5IUAx5NesDJ1xQfqCvUX6W3OYksbNvZMBI/Wl0npjEVxSuJMdGPK20/hikrCF3
4GitfBNEmEAKAdNaRWueMp+RUN1dyWp45iKgIYXDXeyrP0YFZY3KM35EbcKoP5hJ4zGG3eFMN0Cv
o8cRiSJd9mXQWbMe0ULfWstRjP8wGh4dWh7+o6iHkPcokLabsBnPTCsa8Z13GGeiBkLrQp116A7Q
NmzWozzQY+2F0kKYr6yUqqMC3L7UhMRIjgK1JURHRjJyoPrSdR3NRsP7qgp5ElsP4RpLDGbtyOl4
c3ARDnom2ugAVEFDfKaB1Jp2QvYk6fNujoD0aW4jXw0ZAFSIYp0HXbom10OBGzs6B8JAlVQMeOqN
6XTDHHOJq4HxKWMoRryu0F9BW/HGFYosTZd+pQ9xHEoRnxHRlkaot3DqdPYAksLIxElT2GlbNHVu
CNALOY9Po8SvJ6qnrTRkYUASL6UAnZgWwRiGwhct+CLHyL4HQlGG6fiZLoPHF1ozLZU+QDmlnBoI
0XhSy5VQo1+hGk4IGyGCNj0Ikgc2h7ZaLCsj6KaBXp1HiNyQiSxgvX5pEyA1ERZyutDDGRq9n0dC
IweF94Ka0LWWksdPLaGlA31wmUqSsoT0bx/VLOgUtblzORfqE4jxNClpbGFSNSDTE6PpCSmES5CQ
tZCC0VtKnXISoy0+HToGdCUn7cRT1AtTaABJFci+OpWTo1FFIajFcgDsvlANsrQjXQ8u/CZkUJGB
IU5puBDkCHDQ0cdE5UgY9oWKahpAKrAvJhJFaeZ91YwCdWzrfkTCqDflRV7hkxKhbuTl5qxG78hN
8ls5s1eaXl51tIm1UILbgECSHGN+hWKScKRrLHXrRAjeoag0Cmklp5avUiG2lEoGYLPS/yftfkK5
Gr9Nu68bNAiSdPs+8Ra/95J4w5QTeTcQVujaTyn0n4m3/IlsVzEtQMkAXAV45GV0Z+PfjiuprOAg
wj8RUmcvPUwM3PkPpMgM7lBaoen4N3qY5k+4EjHo0iGlEyZVR6edKnAvrxNvpTXKRAIfcj4a/rEG
H1Nv8b7po3Q2pmGG/ieBAJemtZ7HCOJoiI42yjLI63O/wUqQfg6wLLJQSbCBjrsq30SNfudWtBnT
et2Pyqnn6KvRN0tkkrNh6lveHdOrzxyXaG4myQZ3B3OqYx80ceMmn44KqlrJQBEeRzhA2UlNeNL8
kwY26WmKP5/tC3NJFFAmIzadpRN9N9nVmqtc+ITHvDRoujnhbae0Ipcwz21EhGZqQ+YYgYQ8Jwd8
MLOMEoNLHxSghXpTGylHxJ3TuraONDe5RqVpiw/iGiyg8NO77oY2A87hLTOzOTGNEbhMa54bmXUc
17C2HN+40YCrj1n9rfPNRdUiV1kqQNY6x77QnZJpDs3cLjoLO5i3kuICIqAFgFgls/RS+uqIVmkG
91g2wlO41D0GxQMUrag+YpTBNRyNqLGZTrKQQudbbyUXRtuc6iTeZ3nxmVbpIkGuZbCUc8vAT1Tr
LwcFK6mQGZ+GdZ2m0OmNpdtWd79SHyzMBpksBxYxTOHkezA0N7kka7NkBDGp9OHZ0LJ0RdR8lnsX
faPITL4U+hE4EruGVeJBOius9syTQSdjTAroBTfmoWmvfOxb+N9YTOCwOKuL9EvDx3AL8KFRgNgL
zgJLI5BZG1uZIvVC65LvIQwloKOyHc+ywSaeD9plYJPVdO4D40A8mUzzWs/MSwk8+BS7hVMngVfX
GBZ8rZyYFpT+pYQhq0H/jbkqgbkvwmvbTe9tLv3UTeg2RA9hWn7xHDCFpmogMMQftcpdpQMg6Nro
7PXelKJpoekCX2NhZ5sFEYOjZjZCOTbGaCnr7SpSMZpJm577lPIBN/V8ppsgG2Urv83wrHKw8xSi
ydj9xAhLUXUwiuoVplQVeCqJ4ncy9nD2TMXJ13Re4KxFKFI19lSXkVLJAhxzaaPZTDrTBoIWHBUG
e6cUFfhqVreBaZ0yH79M2yyYWgFan5IyjsskDRsyipJ8dkA7habVtzwtruyWL97ovNlgjGdy4z64
raTMtNYAumxfNthqdxp3n+K6R1YkYZvEpoeJaS96RBumJZ5W3O9RNck7xphhAU5YGocNMwbckyo4
XzErOqml8rhupZkcIeM9AJpWYtrTyOAvgbIm8yG6hM+m4FfKlT5upGjY1K157fXtdRTTuertC5Dw
zNg8sCydCqJVC6QvUMqQRIJv5Y/1wh9a8xgJzm4CYx5LLoN8J5WGDd/rcKxXBrzYnEQFou5MlfSt
2lfrWJbWvVync8DE6Rz+/4ae9WrIa1zTTTqesgVPnvvcmgwlrXq16K4Sq8tAttbK0lU9Z6pqyHV1
bZzOuoYdyH//oca4vg1G7E6wHbPgkUqXqPttq4QtoZtJADjHusnL4qyKaY+qir7Nc/ncQpa+CtHc
Qu1cn6cd4uGmgqm8PJanrgKJN9X5tlnxE+zlkNXDBn3a1OmdjlPHAtU1Ku3ARo2/RfgHms3KpXBb
ZcqwKUym/g6hEZ2mRQGadur7+nqs/fOKypmuJZihIdCuMJfp6PgB/KrkZVjq1/lIrMyUK8Ur1Gk2
guKTM2vjefkxNu7HKn/crAtkk6yvuUFBXJm6YSCs4Ej/S4NNHVXuXWuOd2WNHl2leysvlpCAUBoB
28dJr26uchungDLi+9UkhlDoOE47IEbCZew74k+ECuDfvnNOoFuSqNGR1qtrEM9fIrX+WhaAveOo
+ao7SD0oaqfMZFn1T8YqxBjX9o3p4FOIZR50JCDrR2UVXqWmthxzCBBupNx1EXWDg8KEETswmp1I
gOJMhN7VL635uauOR/e2Q1XS1z6jTjgBcPkF+aWbAAKwqaT1EmH3MzVHRTOPlWolh+ZWIdAzRnMu
2sDkaCPjuZIMsnjLHAPG1QFSKro+w8nstMrjy9ZRV1YfE34DDK4G5QrM/omfDSNdl+arVVPayEV9
XNRnrUn/wABc4eHPCgQjmMWZEyzVomRUXgZflWFcMl0MT5EgVGBal2tnsKQFs51ogRB/OBkVTWOW
jz6b4SbzLveO0XmWppWJmSLi2x7CfJgxqCtaOls7SPx1l9Z4pTGMMKyvYUYrBnsX0douxuFMQbVu
6ld8z4hsmKDAUdagLAfAWR279eicK+BEz+VRQjoDquMRKuVnmAvb9oYqdliOPbNPP7eFmx69eafw
FomhrNXcOCIaHZsuW8fWmWzUkD6lUte+BFZOhGgLhCkraYU805muV94q9eWtNshbZhvfuXJou2GO
MsiIqtmw6SKZP53PWGlKNov6GIHiCNlGz0cKJcT31sXFC7XmWxh67XJQ6nDeFf68AHdDB3tcQIoW
ntfmicdi599pXSi6e0nJsJKkTgUTYJ1rOSVc0CTKlFrwhuXnFlfiLVOD41b1rEUOVaOszGVoI+ph
aFa6SHsZSZhSFh5DALqVortN6x6ObnxlwJk0Y+MGs4qLoQhRFRyjo043F2XAvIlzQonYL5Q6x5VA
vye4XtROl04xG0Jr3ywuQcYuCHBYkemiJFQYVPnMBK0RB26T8g+bpnOLIeYkcn0oBE40zMu+Zj90
XjzzzRG7PxNfgR4iQW7iTxRk6mbEgoe5XYfYMhRbVLfPSHJvyzI/7a3YmmaJNFdwBDI6+46rBcFD
9bIs2hNO7spSwbUUnX+TM3uhBxKvO4WrNlJOA7c+cePsq5Ert4y8hcOe9bVS+3UG5wiakYPMqgSB
yjG8L8mAFrUixUdjcFzq5RrBwkXeqWgCBvZn30D02pTMGwwk12OPf1MafI91A1otEgCVNpzS7G1W
QzkgQNab60Sx6YAlBEIJF28jAGpi6KsoU087eTxpSk0DwcOk1AQbFHZJcqHh74wJiS1BwaVlgWki
U47GEQNhFfJ3kg7TvLJ0GsvlqtJV5Fjl8LvVkcPYfXNh5UxGnBLzUc+pqtOkAKNVaB2W9hYWloBC
oxjdAAdtNnJOt+ZwGbE96tdmLR2bgZUsTT87csi28kmca6EJe9wxg3+glE/lmE4V9JspCG4XyAo3
78sx8Xsv5Ri0Qh0xDwUo/4sJ3J/lmPbJUkBzGFjvaE9Y/pc5CPBL2WE8QnoMPUDRKZL+moM8FmGI
jeiyAKlYf6ccw3GOcuvtHATugSVslpEL46P8NAdRmOQ3UWlmF30p0+9oEZfUc71FDqFb+aD7oN0L
OSq5k8/5I+QTOU7o8bO3oiO85rLbIHGrNVQGBm2aVlyF9HFWRt9UZ13k5g95Dc/cErKbfmwNINIV
uO05SDOIAfTkL6oyqc+LMNTvJNmsF4qrGvaUxkZMMeimZxHspwdb8i+ZwWOyraAUgXZQtxxtM7lB
YdS4i1vw+J1qNOu68i1oiWlWTKxGihaKgcWb1sjA2LRK3WZGE98acpyuPANeX5q71abF6m/uy+hY
WSXqVlbYlSeohuSfO6EBi+EIw3Yvn7UYlGBjImF7fp9BtdFPFARPh36BJkOzRGGikba654T+GeYZ
TcFEoUrLc8une295Su9f+UgOoTTYIP030hOyujPEVBF4lT0dUgAWpQgtECPbvIO4TlM3ODElks4J
Yv/D97BVCwyAsANyQHvemV2sbQbJMjJ0UMx0wTTVOB4aaG91l42k4AYDl1QNZExbsY4MPMVBm7P1
vrOTgin27ePGrfxxawb9bSkVi9QLjiWLYXWi0GLuDASJpbzzgJwrzbCMSI7pQNXDaZT18MxqJ4JD
kWRoeQSdFyyqpCa0AAlhzhEVX3UrgDbhKDca/bJVLpE0+XLXTgxYdxgEV+aV7efJUS3Vzk0uF+YZ
PgTyLFFFda3WBuK1lZwwDIid75LVScdaXFuTvE/O8TqQZmXdQryS4GjMu7go6lnvBpAppaw6GnI3
vWQYCeuQpvE3jzYUpRSijD1d9lMrRO61ol9/p7h4vnWjEFqIxuxubHrphM0LQcxKu3MgsO6tPSbd
TSpUQ5usB9Ia9PmFL/RGUwy04lmq622F1oAO0TR0fLzpe6OagZ1FwMoj91qpLd0wE+hGrB1bfad9
hjlj4/CZmco2FxqthQASOrTaJpDBjH9i8XNrjMD061h83QDu276PxAa/9RKJFQv/M/zNwOMZSPNr
xNSXSEzPDOwywlLGo2fa68aY+QnNacsCz07j6mlY/dIYQ12K9pUB3h28lYI849+JxO8lFunIEell
PgPxHskqLpHXjTFkmeQiZZh3NtINIJ1vvrGpfDTwOQNyi4RQGYsZH35BmbsOENebGUqHlW/aXiRV
dmTB2JpUhA9aLQWac8EJ/eD1YNEUyIBmy3L00DIXgSfY0v+QAJi6nbrGchgJEtn0pkklqF7y147z
o1b6LSk1+D/f0Reu4EY60riIdUlCjsiHJgpnE59e6I95+MWw02/5kN20fgARqCZVc03zS1nQTYIr
VjvSVzdFFAk1B4C46zbyT+ss+FZlNsrijnXBsOk+djx7nvCHgZXFaQOZjONGye5I3YY5WhvM1Gua
zkXcoa3R3QxqXs69ulvoOmhdNdS6qd4FMQ0/+6Hw4ZXasXla1fF1h4vA1MYiy4jsyyxwHoB9XQSG
MFRnmk/8Deu52xGO8/ZWjtJ7RPru3EI9r7L0nlsdjG5UevOGQnpV0QXjNloJm3g99L7FKszfPLbz
WWfSIOzy7L5THFr5WEMlAz2MXNXG2YAf0yIo2nLKVX5aV9FxobunyG/PxiAvkWvuFnLZISfprISo
DU5Q2GmHWysprzV0oCBD3ybeCFlV3Bl8SY5cGpOuwzGP+qMA8lmYn822WvtO/yMOHUpSsIyZ7MrT
pgzxB5XVr7pnXOo17nl2EF3rnvqjUc32aAjErxtIpetac5tIiDplPpqbhrloaiR63KYOl6YZ30EN
iBZq3sAmMmTYrmgUFqIzIuuSqC4WskXHghC6LGo/wwEAyZ4m51sDh9RNVcOEOcyEu0A5ycS5b+lW
qDcjUH2M84M3K0MY7UY3XlqxsexSY9EUejHVR3pkXgS4U657LiJq8VncsOMM7oSpPbKJh4rvMFFz
b96V4xVyY7xraiO10y5cubkabe046AAdWCo+1VXhejMvDtEEaqL7OutvbTxDqKfz77KS4WidudOy
Q76zkwM4AiU0QslfyakUziQL7LksZ0tzkJeKHDRTJMucFea2w0Rr7W0SFqdMyVq43GE+xy3iyPSG
gfYvDEZ0e2+ywgD/D/yO3ZhMTK3+XoncXy4Vc6KPQPEw91BP9JTOS4/whHcUq46vzaKo+6raUdnO
S6nygy8sg1ufq7UFxN4MDG1huomcXlsNGuozBIHoEDtlXPlTpNetC3w/ApP6D9Uarei9u6DJ51XM
FpoIu5qzvKqY+Zv4EHQ9cyGPNM/xrvxCFgJeRv8ZRbVjUI4BZqpWq9EDw0h+1tsY5R01lowcVxEg
NTOFMhonaHhqQJBjoJJmX+BJpKm3USfLwTpOc0HRj31ojKZ1L3v41k0jhPuTcQKTz0FKINKNgqJf
tbxrubbi6k51W4/BpDaqaErJiel+Qy+MPpOMoZ00iZ2eTs4/AK5HAJcBZ+rX1+UXLK+bXWB48Wt/
3pc2gx9VJauRFTRTbKZFb+5LoZ5j6M4zPexlkKR/wrBRBdylO0ygHsc7L/el9ok+pMr0SRNUMPGj
vzFIErfhm7rFsbjGxYTLUgy8wX6Cwvey5LVlmXJbiouBOgXYIICd5Cmf+qUeESy1928EqVrXkQqS
VVUWtd3ra1mBjVyYoZ7T1Dacm8gvJBNP7XgYVzYKUVB867TRjxCfGq/AT4IHMhXkQ2zGTnkW2scl
0K0TxRIJslUa/QVy5pfakDHgMQfPqk7aKKy0by2B3IZ+WbQthEqUYls87CYmfqLnHT6dyjzI80yd
o0PfQIqV0JibBJWL9ng0OHOD3oE8q9J7I9a7M4vB2bneMDWfKnkUD4vM7TWsmxtg7Ag2QsnqMu1c
bhUjOm3j8LysUUxLcqy0fOdCU+StUeUPKf00cvFrCzWrtNOWhmSiAgymCEp2MHdgwTgJyJbkyB3Q
2tCiBJXbUpnFQ/HDt/1LmFVnipr/aLT2Cj9vmoVg6e+siDLDAZy+lqy8BIJtmMdx4KxzNCjm46hW
dNol7YceVvBgXUQT0rrI58gSFhPGSQY1kL0G9XRWpSDXR9Vu6VaP6rJOrZtBkW5jFcmMLPRBj9a1
p1oTepE+24JeJclYMAd4yCOAxyqRWd6Ueq31M9NO/csK6u68sdA6dnq5v9XjYGAVUeqaVBHSErpU
gkmCgV2YNWQzCcmZV2dvB9lQfcdnRHCIYh8JUTJNkZ2+3WLFUBaeBwHwjN7ZBmiUcgV5bQI0bVqv
0hVjfqC3c+roeTmn+XisL7Q5AO5p9G/2+qNN/F9nClUBzbLEnJehLckurbi3n8PoYVwhMZKdMZU4
HmKcyyKvcBnJ0Ei1rciZF60Lgkk1udCwW117VukeK3xHZlQAn7OGM8fFldpWx291nzmLSoWNUdf5
wrXHb5aB027o4i/hjv3XIgawpJYF3tIVzIS+c0Fu+MB5DL+fg6RcojWCxh6CILrtoi3grEYNuIOq
LnXdQNimLtkUjj6Fp7HCk2KWgVCYZHI+7zrvVIXEzXADsDIG4pMkCSGMYE3f9Y62LLwQSoTm3XiI
jYOFWDMVkoVCzVKO2GiWUwDGksOr33/Fb4PIo14DUyiwprrD6Ftzfgoizkj9nidueSa3SbgkEMDe
KWlLSoE/N7JAn+iFt/n9W6pvOzvv3/Onb1PqaY20kVedFZ52hwPeFIR7Nhsra6UnDYwzF7yTySDY
gnxnxOjUGHo6nI5lgySdZJxmgX0rB7QsIEj84K6mE12s1cz8LLvjveEV35IuKJBbKfL/N051z9Im
s029mac4sQyfm205XG4r8qjq5a4SP73I8C+6zv5v/+j3D/qDq5l3vh7y7X//1+YB5YpZUNVlcF+/
rm4NCtVX2+HPz/T4gX/3iHjD05sHnq0hJWLoJt1FLMTFi6gTZ7R7nn5MGHM+ASPhegXd+vh6fMNX
a/SrVfj9H/i0nL//N7/+C0Q9/7hARw///V9PnQGBH3+T6jx+rn+zEjzn1VLQiKXoBnUuJA558cS3
S2GhraLJHGEWifc6tEUQH3vvReBvpMMBxRqvVfEihr1ZBFwSVYBDlmgRH+AagAskwu25EexPKnkl
PhxsLfEipr5bAzrvoOUOdRFkOKN7LwIDCTTJuKweX+9Og/OJPAEBIuupyDi00yCSl70XwYHu6wC8
UHiaeImA8To6chqwlIOP8jwkOrxFEEOjPXeC9UnTdHQ+6Izu3AkMtyhyFB0Y0ON7Hd4iPAfsp3rv
P70m314OqH8S9GRqwJ+3gMw5EAUyxgPidZh3A/t377gIL8sStYlKX/rx9e5u0DkuusbdcLBx8emD
7bMRGBJg0ETw/0Vc5DQYZFRo4xzqTnj+dvZZBEKCjGAdyLxfhARZKOI6EOuA+R7yoeBq3zM62gJo
rdLsYjokXu+uCODWtrhE9KcDeHjR8Z1v2d9PnUGb0yRkFZ6LhJ+TBQ4FEFeFduChLoIYtO29E2je
OKA4cJEQr3eLoLJKum3QRT3Ue5KIvvciIJVlGupz+SAqkrcZE9elmHACMnk8LocaJJX9bwpkX2TU
yWTr+ab4eSkUETocE0eug90PTx9sn5uCyTlTcYMm/dOheLcIlBGYJiGCeqjJo/4RhwLHBJOa8vmO
2FFQMr8wdRSEDjUy7N9ZIHESyn9ofv0cEoiLYDIsTeA0CD+Hd0MKCab94iLCBSBEuADf//X6J4ZB
FFfMwh5fh7oG+xeSKqEf+QZgMo+h/11fRTE+oblFrKDQEq9DvRsEL26/7aCZn1CWfJyB7l4KkTAR
EBgTHOyZ2D91Nj5p1mMl9fR1i+/7Ta5A71lkVKSWTyH4AAPD/juBv5EDYUHEfNoJ7+oHFbMSQ0Gl
5FBTZ2X/Ppv5ie+YlqvOROM5CP68E0x+Rn1xsDvh6dvZI1XiitDptgpvy1/EBCpJfqyDNDzUO2L/
VEn/hDAWGhMvO+HnIoqkGf1FenEcGfE61DtCoEf3vCMMtI5UaJnCn/T5T31zKLAxMomcdJqekrMD
DI/7L4L5ie4KmaH13IH/+Y5gEeCRkzgLGcyDTB61vSMDQ1q8F2SLQnF3eGQMoasyMCjtUBfh+dvZ
IzyyCABkDPbBc2vh58jAIgDnJjiKxstB7gR17zKCRWCrcxiQdNgZE0iZHBOnDirNl4v0MJdi/5uC
2ZyJIAWKu09L8a6oVsgeGcwdbs/xeUKwz6Gg8Sq6SxZudjv3gwrcEsSRhpvdoR6KvesI5lK688iY
QJlEvN41GORPBtA6nUriUBdh//aKLazMRWP1Gciz6zgIhgrSv0+vQ12K/asJUkRgCX8Op95hWAiS
Ks4RDjHyQBdB3/+m0EVKIG7DXzdekdHUBKL5oPeD0OzcM5HmTsTIg5nE81IQCn9OpEmyoVwJe6uD
vC7fmY39/REdibSlwywT8k3itSN9At1AmnmwIzrB1dtzJ2iQ/2S8fp8bTu87Tgy2GeTSZjjUyKDt
P5eyoTmC7aKsfNoJ746DuE/F/9GbE69DLbGfxwX7pE/0nbDzJZf+NfpVdQS46VmT7fBK7OeKb59F
eKwpLABez823d/sByKcKvst5xpId4CLsnUPSkLcNEAq0Gp4OBef/7R3BoZBVmRHOobZhnz/YPjtB
JE5kkGIu8XLy3y4CcEe4Xgh2H+oiCEetPe8I5nFAOhWbyPD4+jmRhkGOaCFq5gd7RTyVevtsBHot
dFp0XOt3rwHjKTzEgPM4T8X3oV4RzwndPkvB0BJ2v8Hg8qeIwD5Q8EZlozyHjAPNHQWRbL8jIYbX
zGdYhefccccNIeDwlBKHuhH0vW8IFgGoO184TNjH145BHbtBRh3iUIOjMDDcbyfQf0SMCKQGRle7
F4GmmzDI0qxDbcI+g9T3CAkCB60JzvELR+ZdrqDCmQbJwGDiQGOCvv81CZzHlDVQK09FwjswB4MZ
fkgHQoj98jrUyGDs3V8gMoBYMZlb/qLVIjhTNFoAhT9dpwe7FHsHSTGksYWkMw3Zl2/9bQYpf2LP
KBjC/I2j8R8UHH8SM6d+ED88UjLxi9jF3PzVP3jhIr7/+Suu4SPj8s2/FBTNpzf/i7L5rzeMTfUR
0Pbqpy8At8d3ev795z/x/Zu/ebOXv+vlP66Cbbkp7/3h8QfD8wc92yQwO/8n5v89bH5mSoppwct/
20Evfd1d+P3T82CXBrkgnv31p/7EXf2PH55sHrLy5UF/cTxFDNn74ZOmrrcvz3n1bD7c3s+ebuJN
y1dSvTzr1fPZ7/s/H+n36t1XSnwlnH/Aw9O63PwxzXa6Ogl8/N5vMdvGf5xl5c71J2na+/nz+I9Z
VrJ5Xp71av3JWfd+/qLcVumuh5Ps7P3wZbxN05fnvPrgH3FcV03yPYsf6vePF9DWvT/6UZJvy2AT
vzzqr0+vfMSRPUqHHYsuEPp7f/KTbbljzcWccP9HB6m3IxAItNzezz7dRDtimIDQf8Cjq2q7a00+
4oCeZtUf/5N623i7a2U+4oiuNw8E4Jd1eLURP+KIrjdlsGtpPuKIimej8L3jowvYyN5f63qbPmT3
wa7oJWAIH/D88n778PKgv9ZdkA33f3jGZ395zqtnf8QxXWc71+QjTimPrrfldtjxyT/ipJ5t8l27
5SPO6dm23bzPHRFX+Igjel5uCAE7FuUjjuhFvLnf7sgdBUZy7314gSj5ruROzKj3fvhlQOpYBQ87
VkZMPvd+/tXmvqQkSOsdd6mYKn7AG6R/TLaIJu56g484qlcb8QZluikfdgYy0fz/kL9iFmy9XX/E
R5xa8UcsOAH3QXW/6z0+4viK9zjONkWz67bSPuIMi3c4bYLqj/PvQZXv+js+4jCLd1lv6u2u53/E
eeb59eaPyab8vtmVMwgUzkfsJ95jijLxjmAtJqof9Q5lM7487K8rUgBH9n+D3zn9/kqoijf+s9f8
u07CFT2MnUvzIYf59+r8e3/2LN7syh7EeHT/VScxSXbtmQ85v/UmDap40+zIw8WYYP9PL9osO+5h
ITaw98Ovt/5m19KIXu7+DyfHR3vt5Ul/nSUxSNv/6b/TKN93P/4bb8B9H/97wdh9n36H3+fLAr9a
9I+4c++a7zsOkvHvT+mutuyfBOX3zdoXVbtdv/a2Fy3+xX283ZT/+l8AAAD//w==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DB6DA4A5-6755-46DE-8DF4-182B8CE19FEC}">
          <cx:tx>
            <cx:txData>
              <cx:f>_xlchart.v5.10</cx:f>
              <cx:v>Amount</cx:v>
            </cx:txData>
          </cx:tx>
          <cx:dataId val="0"/>
          <cx:layoutPr>
            <cx:geography cultureLanguage="en-US" cultureRegion="IN" attribution="Powered by Bing">
              <cx:geoCache provider="{E9337A44-BEBE-4D9F-B70C-5C5E7DAFC167}">
                <cx:binary>3H1pc9u4svZfSeXzSw8BkFhO3TlVA1KS5X3JMskXlmMrJEiCG8D1178t28lYspIoVeOqe62cmTmK
1GADD9DofroB/c/t8J/bfHXTvBl0Xpj/3A5/vk2srf7zxx/mNlnpG3Og1W1TmvKrPbgt9R/l16/q
dvXHXXPTqyL+A7vI++M2uWnsanj73/+B1uJVeVLe3lhVFpftqhmvVqbNrfnJZzs/enNzp1URKmMb
dWvRn2+Dm1x9LZtC3bzd/Az/+fav/Eav7m7eBGVb2PHtm1VhlR3fjdXqz7cb7eC3b/7Yftwz1d7k
oL1t70CYsAPuehxzSsT9i719k5dF/PixgzA+wAx7jELLD089A1V+S6N7fW7u7pqVMdCz+/8+b2Cj
GzAaf/16FG7Xo7EGIAYs/nz7vlB2dffm2t7YlXn7RpnyfriaMSjXXX1/fT82f2xC+N//2foLGK2t
v3mC8vbQ/uqjTSB/AbJsrV29AMTiwEeYeK7vPUDMtyFGB77vUYQw2sR4b4V2I7wpvge+mwKvDN2/
8koVLwEvP6CC+BT9CF4kDhi8fJ95m/Dur9FufLfk9wB4S+KVIXy26m5exEaLA0wx48T13fsXeb6A
XSQ8mAB0E+H9NdqN8Jb8HghvSbwyhE9v7lbNS+zC9EBQTHzMHhEGQ7y5C7sHLiUe95DYRHh/jXYj
vCW/B8JbEq8M4b/0zV3ZvMAmzA8IOFEu5mCEt6FlDGNBXHG/uLf24P0V2g3wlvweAG9JvDKAwcu+
6WARmxfBGMEyRpixBzsNLvM21JS7AnyxLTv9W0rtxvl5E3tA/VzolaF9vGqKFwDaPyDs3qGmD0Bv
m2twuVzEBSIYwqmnUdO++uzGeEN6D3g3vv/KkA1KCP3WW7GxL7Eh83sABSHsBzETPkCwH/sMQTT1
FOHf1Ws30jtb2QPxnXKvDvm8NS+BObjZa+MMkdQPzDc+cF1OKHja25jvq9GP0N6Q3wvnDYlXhnC4
yt+clcC4/fum20MHzPfA4QLzvJvv8mAWeAT4ri3C67eU2o3z8yb2gPq50CtD+yJvgYX996Em4kAQ
ynxM0A+gdg+Ex4UP7Mnmet5fo904b8nvAfKWxCtDeJa/CcsGAqsXAJkfMCwogPyAsYD4eNvnhi0c
wVb94KtthVe/pdputJ83sQfgz4VeGeYnpXnzVxGv8tVLLG3vwPUxJtzzH2DfprQRP8AegYgbPYRi
W6j/pnK7cd/VyB7I7xJ7Zdgv8lXxEmEXJDKw6yOBIXzeXOTgjQuOGDBom5Z8b012Q7wpvge4mwKv
DNY5JPCKl7Dh9IARRH0fPW7U2zZ8ncHgPvxBWxv1/hrtxndLfg+AtyReGcKHrf5S5nf239+nPRcg
pMjznq9d7wBRRFzIQT/Y8s0V/Dsq7Qb5WQt7wPxM5pUBvdTVqlE3+b8PNMEHTGDuewQ9RNHbySrk
H/iw1n0EbPj6tbU1/45mu/F+1sIeeD+TeWV4nwJbtmpW4wvgTQ8oo4wR95H03sYbowPqU4+S7QqS
39FpN9LPWtgD6Wcyrw3pm0ZV5YvwY+wAEpCQouT4YWXvYL0F9RjHzN1lyU9/Q7Mf4L3dwj54b8u8
MryXxfgyLhl3MXjb7LFm6JlLxsHjFpRyvsV/76vPboQ3pPdAd+P7rwzZYyg/fInYmR5AWgpK+r7F
zs+gFQcUPoNqsO3k1b4K7cZ2sz97gLsp8MrQPbnJXoDeBs4TyGsgPaCc4P71LAWNDwTyEeVsKwW9
rz67sd2Q3gPaje+/OmSNWb0A/QEhlAdFflw8br/uM0/LhYXLgdKmWwv35GZfjX6E7ob8XvhuSLwy
hNeezAsADLXYgnk+1IA9ktnbrCbUYvsEAbxia9PdW6Hd+G6K7wHvpsArQ/f6pngjV1BL/kJ+lY/X
5diPxPX25gvRkudiF5iSLfv8e1rtxnlHG3uAvUPqlSF+uiruylv1ItymOEBrF5qxRzpkO2jCBPLN
jBIitoz2bym1G+/nTewB93OhV4b2RX5zu3qZEk8u2DrV+FDI+Xx/RgcQTwEvhh/CY1j7TyuH9tdr
N9pb8ntAvSXxynA+XTW3cBwoeIEjU8SlgnL6SFg/26bBUeNIQO7Ru/fBtxjO/fXajfOW/B44b0m8
NpxLMN7/PsxQKeQJF6pDEH1Yrs+Sju6B72E4dIHAEX+6kE/3VegH+G6I7wPvhsArQ/fspnqJWj+o
DxDAgQDJ8RAnP4ul4NgjhFIukJ2b4O6rz25sN6T3gHbj+68MWWDiX8LDBmThqNt347x2qzZqBSCZ
jDGHndrd2n/31Wc3shvSeyC78f1Xhux5cwOVP/++SSYEcovgX3H6g5OsCE4z+3CQhm5nFffXaDe6
W/J74Lsl8coQvlJwhsaou5cBWXDXJ+TxbMUays0FzOD0BXOBnt5awL+l1G6cnzexB9TPhV4Z2tc3
tw0c+i9ehBHhBz6DA8weHIy6f23b6zUjItZ/4MDN+rXlTf+ebrtR39HGHrDvkHp1uK+ZsKa4ae5e
hhyB0h84UIE4ecxWbHthYM8xOGEQVW86YQ+U1O8o9iPgd3ZwL/B3Sr7CCRCqVfwSfhrUCSHguqFW
6Ll9R5RwmBWPHOlz7PfW6cewbzaxJ+KbQv8HwP65ihu9Xl9O8te3od5xs8zvXywDsTGlAj2yYc+2
cUgzI4YZgjPt969vz364XwaOpn6/DechuN6l0258n8pu9PGhiz8flJe5NubHV8p8v50nvLE3s/t7
fZ7cKvPzT++7D/cRbYk+shE7Bux7MLu8+/MthL4Eck3Aa3y/Mmjd0AaXsba0c3Dnb5W5Lb8htCm8
ujH2z7cPNwVBDTaHoJkBsuubCvrV40cEDD3jTMC6pnBkEpZ8Aee7kvv7hwRE4mDj/5EyZfv4EfgF
EIG7iAAJ4yL6/f6lizIf47L4PjiP798Urb4oVWHNn2/hmH318K21tj60zpnnQSWav27Uc6HX1e3N
1bqkAUbi//k5HO1Lo2Y6n+zHmkeynax8MjA7nrBu4Z8ncDg0CA4KBy7fw3CK0PXWGjx5wlRFtBoq
gs7N4MjGnfu5ksa/67rDnz9nsyfPnwM10U+fUzqoqhvlo3O/6gLUnPTs7ucPwOsWftYTcMmePiFG
dYHbBHqCByY77z0TX0tnDIRzLtpuRrAbmO5T1R626sKWkURqlSbzOL7A5aUtruO+krY+pn4841Eh
Y++yTa97nYSD0L8YCgTz96eawsR6qilRTmT7Zj0WZBZNWtbVx7ZTQYm88z5SMooyqcavzMGyhv/L
qQp+PlRs/YDtoULo4XCRB3k9d1OBgsfIdi4bz8cuVShAoslPMg8TG4yVV1eBSN2iXaacHzWDkX7b
X6G8p7IvyjjoXGcKGr9OJK5at5vb2D3qhW2bRa7/xpoc9ZFriMROit4PRKcLkomUy4hbWaTprKHN
smpHibt6juwYdnZcJNN5R9VMx54sa0e2dFo0g7jQ+CKa0nnU/m2iXMbmnYn5KbG5bDIadgUo0JdL
4vsBm3I5plWY+e/Kqq5DSmI51Q0MIgpa1J4wV8/66nCs/zaplqNDZN0Xx8h6l2l6mg560RW4fK/9
XFZkIrNSvLMeDb3Ul2k3xNJXsRd6quahy7U3K7P8k3UqqfXUSOFHJsxi7+TnCJE1Av8g9Gzhr8/u
Pp0ivRImtYOZzt0FOYyW04n9SBZ82ZwbiU7sYR00Mx6KYJyT4Kg50vMyHD45y2xuF+6Cnqp5evpz
hdaL5x99ni9f8Hmf6uPlecv0esqW2bLMZNGHjZH1vHZ/YY52zcyn5mjL4HGlpzxJ4DlOIfN3w10d
B6oNPBzS6BeLAG0O8UOXni4C2OqfdklA/xsiFD5PSJBeZEPYDkETy97MUhHE5/2vurbLAsLdCsQl
kIHhvtiCVFM9MJYTfN6nRhbTl865+DlGuwzg0wdsjZ1bKFZ0McbnpgtbP5O9E5gh+wVAv3rIlpUV
g6DTyOEhojue6iNL32H6+ef92LUlPe3HlnkcYa9uGu3jc6BMgyHvpUuvRHomkuGhL49ey8XD/H3Y
bm/LamxUnDzeePj97X/flRr+d3953j9/ub4w8Z93p99uWtz+1vpB378Gz3l88Nod2XjzzD/6gQf0
cCfjDz78DfdozTM+GfJn7tHjvYzbjtGD2HfHCBiMdbaQQ3U0h6PlMBG+O0Z4fZMIwEBg1yRovRM/
cYxcID0YeC0I3JX1R/84RnDXF4ESPqi2BmIETqp/6+kGUuAYPr5/6hihdVknrMi1A/XNNRJwpA6D
7wauC1QObi1fPsS1aHnSnqfKVkc8F95pUwzHvMjrwG+bD1TrsE5tdliULJ9WSWlq57IdRznWkwo4
GvJLkVSFtNl4aWPvqDS6nNe5URJNYydZhpyFyjtPehW4CVmXLPvaukFcRZ40vYmTQHR1Mdesytvr
Ma4+iWQspQNHuyWzg0qDChvvqBuc6civiiGJgpGP6qjNs3DEkXNoneZrLIopUI4bLUZUtjJBmVjm
bdx9qATnx1jR7JSTologdV21JKlmXI/uvEJchV3juCHrRBGWsGeFea6wxFTEskHiOGONndUxCnyL
7dwfqjPuJ53sSCnmXT4NEhyQYW6Soj9senOGjBGBLepPTR+fjKifJe4YYoNPXS8+7iebSJtWrVTR
WEtwCoK+Ne2sAIRlHDl2Bg+Lv0Z9ST+PU9pF83rtHLRrN4EnBh2Kpr1KMnLN752KiiaOvVSoqA99
8DSKOqGHtT+a4ppaVzQyaSPWScIib0FQ36XSj/yvWdT2SzWW7aItsiycdHExpuaMetVRkSdntYuP
uXXmpemPHE3Dcornpi6km06Br6q7vsBXyopP92vm37Yei1W5jg3N/1Lj8dQI+EBd/MxuPI1QH6Lb
+6V4L/XNbCBgx9YnnGHtg3mGbe6J2fCgSgwCDuq5HCJsD1bso9nw4I4SiMHgmql1WA23XIDJ/2Y2
1tWD0CDjLueEwfVEv2c2tq2GoJA9BbsGR3+Ih7f9KjsR8BDbdjgreiJmXR8llSxJyrIgY313SR1/
PEqHrshmrpvZT7b0uveZZ4ZaGlHUH5+M3i4j9syGgW2Fy1vgnktvfZ0t3bJhXjFWmUja7gzXBTqL
s6mAEI+VNAmGzpZCdr3XfmJd5SjZaG7roE6bLJbRZJgXQLKwuBPWuufQRtKGOM/R+8l3OFqM1I9W
aHTQMP+5xnjTiQG/FDSGk1NQzit8BqcftyIHT7EEsB3tGRn8OA7pMOXvO09wMrdsLH3ZjQNKQ8Ui
LidGRyXHzCUL3TUjCpuutHfJYAwCm1f5oYHLijtpdeKCuW38LJ7FZZpcZK040kYkJoSzW+KDSerj
LO/9YaaMA65tk3R68fNePYcBCpxcOAAI96cAiXff6ScxMBuduHeq3JwVNhIfypgjLL0Mw9Soina4
6IdGXFcRyv/++WM3XSnfhVIbYBUYWcfd63+t1XryWN8dYq8ycXFW8AmdoSxpzwrTBIpHyYefP2nT
q354koACTQZV1lDiw7fmWVV4I8RDSXnGK9e7qfuyyReR5SOWWZXM3LrNp4C4Iy+DlPi9/tWk2fS0
14+HiQLncjy4Qg4OzW4/Ho7hqSQutDpjdebf6LT1b7J8rYM/aTOjTVnK0QXoF31e9xD0ZiVb2VyY
ZS9G72SgpHED0qdlFqSs0O9JU2ESJnwcV5XTVSHsNJoFvii95tAndGp/4fKuz2tvuBprlNZmAy5R
gjul4XDRJlAubf3C9yPnFLWRvlGNNbFETmYLT5JxLOKjPlHZl5iL6mSY6mROS29QAUYd+2rZNJXB
mMQs8Mq0W6mGsLvOrxJ29HOIPf8ZyMSD6AKyUuuLQ2B1boVotOHKbRJLTlMI4SPBQyuSaTHYgYi5
7do2aIbavez06IOnkSQsaFCxMLipFrlX4SDLa31V5b4eJMv7+GOf6nI5GmtlBRv1e2oyHkZ1EQVt
maZKKkvSXkapKc76yjHntQORcxwjkUpnigod4C7Rhz61+RVO44t4LMggIYisz2xUv7NYOySkHYaB
VCMG2+C10yTdnqcneeLzT5HbekcJ5ehkiodOBL2beDoA/1AtHd6MWvYjn0LU+044pcNtZWp7DS4H
S2SvLZtHpm6XXoTxuzpBfbaImIOUnJIs+gI8W9NJVdTO51YzHVaVwcusLKolqkV+p7qKwronOrtW
IlozSbUXHzVR0wYjjMMCAY92Xvd6mHl9AxQGGlA3y+HGNWBG+pjXQYeTaKYNacK2EudJ5MRuiFBp
D2GrwX1QuCmV3LL870G7yTFuRHXtE+svWpE6eG6onm44LZuZcYd0mncZj+fOMLg32OT9VxNXlR9M
2LqtLGLcxfPBpiUsjr6fjXHX8nlTRkmYW6IPC/iqBHPelDDQumMyNWnqBCzqmWSlP0zSs3kUEOsU
etHQbBZ77ehe9gR5cP974+YyhZlk58T2wiwGwoYTmk1THl224AlrIFJUPhbNXRIlGE+fTO8MTCdS
NGDKy1s86tSSBi7PbtvKPbOZ1dlwJFQ9LTrR2mipG6UqmeK8vHaZQ5bpSEgbtIBBBC66KwaAS3Me
FlEE+6HNs76e0ayP3aDJLYrOk9qlrDzMRtYn4Tjkwp5QYwnMqD4qkemDFvbCOXWSNDrvYOnQOKh5
xWHCkczoeZGrRsi8hs0rmg2dooETQVbAl2PkFh5c4BdpHSSi7aN5n7Ncz0wEXsHcL2INfu3kg8Us
cOa1gU4aJ5edGWNzYZSj9ayMFf/qtB1TbuiW2C6Ux1t+5jtRHB0VhFnmp0ExmHoaDw1coNsksypO
mJ5FppvquWhMoeZjTvV46Bqjq8DHY64CNvhjvmhUrZwAYMUfnUpPKISShEyH8I/rnOep6xgY8qL4
mGot9JI0wuazLLH0amotIfPUKTE6TvrEsEKyBCd2ETVdVVzDZkyO0njC2bytQINZafN4mkGcNImA
p2PVn2o+wtR2YKk0YYRQe9QA+ZaHcUTiNgTqAeBUzIB/UkwpmVZ5RgQNOSigQzLqpF4iV3mHsWIZ
DXCW1SRUpYrCqY0yXzp9U4mLNOpTLyCqTiepq3Ryjt0o9+aoimIIqxLBqhkak6lcJgr18SwTXtLL
9fckEkoUMH1iUgdDr5xJQhDmfG7gIOroSAXrCJ+hqVCTkrzzHPJuzHvcntFKjGVYiNqe+m0BW1Js
WAYCQhMYrUglqPg0obxIjupR5xAz9f6kgDqM7Tsvxf6NP0Q6khzB5J23xcDIzNBJgfItSnWYkzoz
Ae+jmUKq/pT3PXgWaZx218an/ZeqSchhx/o4mvHMd7EseATt+HmZDvOi6dDZBNS8d2msj94h68A3
euoYHlg0smHWYZ2qw2bAuF8WLDb4XDlMfCjcej0507Q2C5abxFwMo2d54NY9YJP0BShWGjC6x7CD
iQ+EuzC7NVjJJoT64KFcWiMifJE2bZZdYV4Ibzl4ad+e2sGunc9kHC78zKHDrOw1PLosp6mTA9Z2
WrgZW3d+rXoP9gn0qjQ68/wCetHWPgxVkpXZFIisg6VT5XGmLouGwZJvWvAKYvgMbCq2RXJeI29s
CkmqxAW4+2ZoT7WTVEYqt62H+QAn+8ls7Gq8NhqwmALoERiQQaC1n2wL/SGC67eOeKcUlzzxM5gX
Y0xv+oKAGkOTjlfEDq45jsHNTY/LqsjSaw67xcIULjqrRVx/gkMvtJaJlyh8VPJYtMdRUsZdODas
7sHBHcmiwjCsgcvq8TbLM/9iaI1bHtbu2GUfe6pjc6gjR38dJ7G2IarOkxDiAE5mCo+JmVdUi49A
AOi57qu4lswDMzc2fXKlSmuOhc5SP/Rxg2Mwe3BFoOwSLD40qdPFsxwXsEwmJyJi6RUlqlcaDPJ4
BJQJrI1+bbFnqe/AiA7dBBkQ6/f1MWpaTINI5LaDnZZ0Lrjedfq5EZ1454zgph9NwjbozppiNFID
L9MtVY+hqUGjZAq8PqbxsgJY+sDJBJ1PZdfZ02Fk+XXamVpyZg49PXT+4dRTACdzkZkWVZ6V5WlB
B+/Esa5XzpK60N1xPPZVEnDf6OQdeCLmzhUFmBEwnaaTWQI8ixR9x2vYBcb6Oo9rpP5G5UR4Jyfw
wMb3lSWOgMZM1MwS5mTxkRNV/Zckdp0uyJmh2VIJF10Oxokgq9DWRs3U1MIkVdim5GLI8sk/07TK
c0jDdC499VDiDcEI3o2Z9UkFqPW8UMCrTEyD7TAmn6GBDE3Y5Zg3i4nXMPszb4hZOEaja4KoMrT+
2PsjepcmDcw12OnEB5jr2lwUokBgYHEl0jnXCe3l0H7CvO05klnWsfc+Luo+7P3YeqdelPPuqo6M
aGBzhxk9qxQBNCFwGIcTRWxWnrCmSsgFHtycLqOhFNCvYXDi06xxqj7UJgKbAd5Ya0/zPAL9G5EB
N5LwLAn7wXWXY+3Buh8pZUp6UcIe0gb/NkfyQ4b1KcH63//lTAp+SqU8ZKldiIR+nKV++F2J3VLf
6RS4PQwSbxTuYIefUgC29QmdArfrM+BY4FdQ7kkTiEq+sbAc7pCEF9Qj+nDVAWWg2jc6BW50x3CO
GkpY4LgmcLS/R6c8Czqg0hxD4EzAEwc90fq2lKcxbNywPk0Jz88dVH+C3+cBq9jmX9DoL3OkC5nS
KTBNO2O+lm7H5hOJT8RYn/Vcw07S63qpVa1lGztBw1o8j3137pbkulcdnnFWtkEXjyeujULqlOBe
IPtBcVwFOcpPEr/Og85pDvPM3GgKiboWeXcRViaoHB0HsT8cD7y7y1pUBzwDShP47BkdO1+isZhm
buvkIeQZhhAWoA1YKyDRNLo0sGUxzotyvMCj74c4zo/bwScSluDfBMKpECzjXenSI4i0q7AeikrG
ncmkjon0E4g+CyYuJoE+dtEUA1+qMgi3nF7mzMJbmqpgiisM6cM4kixaktjORwYJ6RpsE6Q0hw9T
Ep9aVhxXUXWcQJ9kOapGaoyvepWFXRzrWVbg0wjhd9GYW2B0Wy2hfgC4FNNBuJY5XHoeOdRkVEHE
q4/cb5yAumPcxoHf1Sq+tjitPoND8GGcvP7YcnNeEWsWOerB66+bz0MMVr/IFrqCtK/X+qX0emC3
WxJhmUT8NInxB1JDmrdV/bkDlNEsy9opxP4UzyYBG27cCGfhlO0VcZI7P4/KBTgfAQKX4rikN3a4
Ab9r7lX0xoykXLSNu4Crg+NZU/W6/CBQUlznbl5lKxVPd/2QXE3EBaK5rUomsybh/KZB6VkE83vp
2sI9HCwuz3ETiXNPR+ZoFFHgCeCoe0YP4beYUukmrgoST4xnJJ3A1qlS9wsI2z72kMpkSienZChX
YMrxoVvGopYN5cn0QCT829bw/6Cdg2X/YzsHAYdd7TBzIPTNzEG5LJSgUOAJXYIxppASfJJsAgIJ
UkbwhwA5B7THN9bYPYBLIQQQHlA7D8fLKVjAb2YOjksABQJcsu8TOMQqvN9hjaFwZ4sB8tdMHQUO
Gi4h8aAgB/R7aua6ajAQ+SUEqmQ8N5iGbtmPXh2ilBCYKfW8JLiVjR0/MgzJGBN7tw3hJ1aMWeiv
nbt0gHyGbZJj25euLNzi1EndRvKpasPBdGdDQ03oiQZ+G6xsv4yi+JSoeAYRx1XmpYtitEeY4Ku6
qlJYnmMrBSSXINODTwoNsVPssPcmE2WQC23B7YreT2X60YeYUoJzPgR00Od+TM5RT2eiLo9YXi8z
fyLLqYuaoM0wD7pkWAD/PMO8+goJr6u2j/2jIo4WkFb9wtUohZk+DJAikxnWWBKI3yT1dBGSKgrc
AQw1q5IPPWo/Z0PnBUmWHOK2LGRlGJiuBIgA29kiUBU5y3R9lGcekX3TfK27BMnBKW0w5fxc6aYK
+rg+T/2uOhq0BV9JRXHINNQcZEkTB8KNozNDSzeE2Hyisvamrxx32VnnsdtJweBWkU4uMXhiMjHN
KrGuOE3LfOkLKKeJcAXVJoXh50YNesZYD6i1iSeb2MZBpoceojMoLOlSRBdqXftBG3BkvYHFl25M
0GKq0ljWscqlLqDIBHiXUipN4pk75ukhIUM+c5TCizRZM6oT8IN0AP/dLUsIAyIUomEES+cZNffc
Kpp7PclnjbZ4YUuiZwVJTyAxdjzZ9Dwr0NKO8RQqzb9CGQyVKYPiE8coEo7tmM5QxMZF1sb5zE0T
DgOBRsjE1WJhUwr7zNC0C4HBi9ZxAxQpxJ9XYA35oq38ZAanfdND142isOtyIg0hzmUOv9Uk9QQ9
rQdKpaIunfPYsUE69lyOZVzNHIhqwU3N1JFvTL+IcfJuxOaibd1iljh8lKWt4KZGAzFaQoFJqYV3
VAnYJWK0zgRM6yFSuPjcGz99X0AIL00iisOxhbQHHuJS5lEBRVE8gTC1miJwZRmMceO0h7wHm530
Xg9EQ6vuMq0YZPdYNOti7Ry6Np23fj6LokIA/wf8nRZFI4H00ZJ7aSudtOdhU+k8oF1KLyc0XKZD
e0V7nc0MTpEKcpyfAQloDyFO/GqhOsOiLpnbCrUyF3lzqsDnD8hAw7yp6ZKOfXRCHdYtoFbMu8JO
+0GJ0jqha9shWiR4QEiqtrrtQSs2ORlEzWkuDU/qhaPGd8jp0XxIYhq4nTgqNKazvh+RFF0L+V8z
ygpoY+C84pkqCufI8dxDRcj7DmqCAsg8v9N1esTS4qJnJnAcdmr8zxHDx21Ju7/HLF/11J4MnuPI
ArbJkPdtf9IC4XMohE2lasAjiTP3BMPTkio57jrvaw38SICm/NTtXSQ7wT5MHOhtlU4cvAp9Zxhw
3kCJLct0vISE4EnrK+Bjk46EheblIlMIOIAu8cNhLAfZKcYgZaWXhQFvjRniz8cRIES1Pm+d+Dof
os9u2X6qPDAP3K26kGXNserRzZBROjMZATrVlPEctQiy31CwlXnNrEsNlmxCWuamOzW8/9hSH7Lg
jnchBsZlqVmx5L4P37RuKtss74LKlsdt6h5CKFUEnRfNU7esz5Wwo0yBLpPOIEI7wB2yEc2k36kQ
2Ez6CRLO2p+VxXBaYHtbemxZtP7fEEH5S6WRTJvpC/C+wG6WwyF0Op8nGBhZjaYwp+wsScHKiNKR
uOmDTDil7Ep06NT0cOzrMMUKOHLVX0Jd6EmODQkilX+xXByygpyhuFo4Xr2IgdUETKH+BcF7/ybh
SgVGtV+NYheQJrGzrhyXVnvJrGV54HjZ5f9n78yWJLXVLfwq5wU4IUAIccuQYw1ZY1fVjaK6u5pB
gEACMTz9WXRv293e3vuE7x0ORziiXENmgv5hfWuBTZSDWjAmtb+ci6G+ayIndcvisYa0VrD2EI51
m45N+ViXQ4I1gI5bYcK4WdaDwKa9rBNOzAyl00swinyIsV1i1DFn2RvuGX4pG1knOWvvSal19r0l
+Kc32ka2/9wb/f4so7/oj/CNv/dHmPU24BzsDFz8bJPOf++P8DyACMGkP2jjYJvA/hgDg82eBNs/
Vl+/joGwHG6tDPBmiFobqfO3+iP/z9pTwP2tCcNvItA/ECLwa3/U5hyFxHJ1S0idHzr0DUWOKUT7
03kM7QJixDNX8+ipvU9Wfx/N46WtKEpk23zW1FOpccyhXoogi3w8GTWfmB9XtOgTFOc1rpzJS4uB
O3HYszV1prm59Hn0qQhWnVjt+8lM1jN2p1c6oAeuIpRcp9j3S/dJ8Fwla8+vV71ggFDSHvBY3FPe
VD2WNsFpBXEI2De8Zh59ygNQLkPJ76IplGmry7uB6HcYBlqsqPJn2wRdPEHKxPI+tIm06zVrw0+z
wI7X9f2XqFaf2GzPkXSBN9ePTtBcD3zqEqzznlotcNi4kGXEdA5Xet+21c7NnVevnJO8z3cD6UPM
yt1VF6oXPPn2xi+aKi6CeW/noI1xUbwPNQc5ONdF7IRDVrK1iIEx1amvZwbdol8yztsxs9YuUOaa
Wz3N2Cnn/kEVXhnP03gz1XaM83Vy94EcdhXr72dpqySQbps43nrxBfviDd2jHJcddlJN7OftZaZs
txTNscSKNxahubAxfCp6kWcdXV5YibG1nIIuRRcvk7ot1c4vF5O2XoiWd73Tcxvu3KI+zW79UawN
VoSD98QK7WKl6YmEqei2sqF3U4vwMPP8ob+hxZGNGNomfmZLVSUeJ7sytJhCe6zvhrXKBn+wWOfx
l4Kh2xmBfse1KvfYObSxbNQXGTKVVgMmP693dzXHco6goR6WQwnmGcN39Vlr/wPP4fhAR54f8p7e
bIvN2fY5xGjbZNVS02c/kNBwwDtiUgeg3fanJmDHOnChFhQ7zXO5cyEkZcs8e4mXs2XPv8+obTAO
2WSdu7KbvkarnHQSEDBhRPf7tacGiFh/ok7vJT3tDhFTRaw8UUEACHlKKT94Tt7ulZ7fIXE8lkSl
1jQZ2fgzXLq4jqJPyrd+UvSDfUDr12dllM+ZDEFWL1jjoZSPbjbUmBf8oL6PLFANT/gxhPhjG7Er
YY0bN1JXaZ1XuC/Cesx41bk7v1cedgmM7JzarxOCXel58do74RRf/Hyid4No7rmmJN5k+WNn8FqK
YcIueB0zQxU4bbLeKoU7pWrmOQa0dhFhcFU0hKQdqWjMKryBLXsbBvdk1F1JaRdrzS+cN+I4M3Uz
CyCfdphOkae+UlN3cb9U7w1tuiyURqbO7Mi0W3F9TEEPUKMP8rRYnb2/JNX65uX+V6uvqupo1JSV
ql+SXuAysI14Xzahwlv6a7FKN25952Hu6KF1Cwe9avHs5PJDjrhlPHDuGdTTnYmwoHKaLo6gvGPh
Wz9CAP8WWTUl+Yzrzq/DPcVzqTMK3T92OrgzbN63V443B9du2zw6ZdPfzBaCEiTfKgujVaTzap1k
FEIluSYKXa29tlryGA1ahWazfCg0ruaA5u5R11WRUYFPHDITYI1lvVOiYyAUffTOjV2TbnHu/V6P
6PBxYxVrL2LHMsjMUoqdXYYqVf1ADwU+L0uLk4Qqiy1Of9dQ/1wr80AEeRRBqVLXsyfBAy/z13WG
BURpXd12s6tfZBSYKWOmZVVixuo8jhZc3WD9xtuVk2hBWZbmlUd58S8K/p+egKA+/uee4MejLP+i
IcB3/dwQIAnEC5BtjNxyuIz+aAiwS0FpZ1vi8a9wLp46A8eST7A1wSOGfqHskD/h4hFTIIR+7FLC
v9UPfMfAfoVzIRUSLE22zQ1i1f+0L1FdsMpgEeaW1P6jxHXmmeDcUHMnZxxJ03Yp5gSjmksP1bJU
abNdrmK7cId5FDHpuz4OF0x7EG/vCcUwVHShG090YLFZXdTl7c6P8LPaUBVZjaPrGOXai7uiftDb
jbS2iseumq+dHjdZ01ZYLGw3njMHIoUEX2W19eB4Gqb+huBORVp4cB3atb2qPG+IFfN60K1YSXrb
PW4A1vLttmcFhtNVt49Fy0HdbmcD0ebY47CAwyXH5AKFN6TNBzigZzAUTlx7wUHhqHG2M0f05nrd
TqE1yD+jMaviPhiXROOoavWxcq/c7fgq3rWfDFF+UArLj8mOYKK28y7EbJe29SxTbzVd1uFYnFas
xedBfx1xYLpDN8URwQvSVhwNDtXFCbt4aTNnvRpx3s6UvwU4f9V2EEcLZqcIZ7PONVp7HNbUctCQ
s3srmd4O8jFzOcFH4ocmHvLcHMPt4AcZce9tpSBCTZhRG0zLIYxu5aJ0C3fnbSXEhBbFhGH13wk1
ZPVWaoScXFjM+JWHKrSMJY0DXaQVb9GEGFT7rWT1PlAuboBpswiMDYOwmuVbkcsHgkEJdS93VBWr
stv3pDoZGT7SaH13t3LZLDIesCaubBGlyiskMB5dxB0q7ESslzDUXKTQGnx+/T6CNSmRwm3JpaPw
f3GB9ovD1NJJdbtS/aVUcBd5MGngAn+PVKlijd3QqZDui+7ttcb+KXWwXUjLyf9Ab/Vhw2XZmWFG
vTJcHIBrfG5wi2IF5xWJBMuN03J8CLzcnBtOTraqXrs1gonCBaWsir2anKt+WbrYwCADW5VwYyXF
FGtjboZqxe1jH4tcfO6LkB9aH4BM5TQPYvULiO/jp94Pj7If8gMP1AmsdA3ZgDU7btojy4MnXZDi
hBUci2W1PuBnTle9DSz0cqWyIWc6+c5GWA3IxY22D29GQSVMsNQV9JNRFVrtdRxjY9r2ZDyYZWYH
Q36xlD3G8RoLvNmol5yI/NAWhb5ULMAyxu/TuV3cHR+bZ+6tVZwPBeToCuXLUyU+oK7NRF2hdyhl
ibt98I6m3LqhihWp9sYjWTk59rw4hq6o9wx/S9wzf4lxLA4xh6SKncgaq7490KE/VA5LK4UyXFUD
CPzacXGn0SEBOjHHCy3CNMpNOlAX8Av+A4P1pcqjWBn75M7VOdDjSfnLTUT1gw3RKq+m2RcOTHht
I9a4le6NncenUqEhx7Ryaeh4J/Ppmcv52jQrfGpQ6CXQ3bhR1TPwthOdyWEx5nHgjMT92JIYu0A/
jur5Spo+C4lWu2ZBW+/p+Vpo/062S53Nk5uFXnfyxrGNFzN+o4F4K3P3FgzhDZDHS1+F0LSs+SxE
MGPRsb7UBfZstOc8A9/xZpoQ2050gvHgdY+qoOfZ6VRma1w1YFwX+eyPVXAoKWsxjW1lv1Cgs7ZG
4J+xnhAYkAkg0f9cwn9+oulfFHJ87++F3AXfTjEeRq4L09PGxv4+2Xv/CxdN8FtJ3uSNPyZ7dxNK
IjxOLARSvxk8f1M+QiQUYMcFb8yPKh/9nUoOTPfflI+NF8ZED6wb/2ybh5+Vj6gJ16jFQXFb2xJk
Y6J7RU717NJTC5GhSirWPC1VjqI3O1e8RZtcBY2Np4qlReuQ2B2qxzkfzpLPD5bMV4tA0esKFsWA
HkCvlCugwOF5apabsPGPQcnQVQsV95smOc8n1o0smSEUlyvGgga75UngjhVhNO8x+X/zeT4k03e3
RymXBISEl2np9PHK6W6sKp7QGqu5yBSvC8P9YGq6ZNj+NSnR3SNlONHo6HgYgfPE71aSLNMQ07y3
iW7Fpzpy08FjqNDGpEE5fWajjCvRNymeFPMFd2GZwLn6wgAgxcDmj/7MQSNhOQ3M7oXldM/Dbk3E
5O8Krp3YN83BYzZIreIHM8OhtFALn6qdPy9KfG6G+Zaooo8xnL+WJCqThsq9lPMRK/F2586TTrXF
OpHn3decUCxb3falUwGmvG0TK8bhgwlvvTFyeS+7QJyxpQXnG3hNjGVz5rTcvfegyKQUlGhSbjyR
MnO0nyZ5doPeoovHOgVbTT3sQCsnKw1LzB+h2tWLT5Ia0GjGCwwTebRCDfZac70QPqcSgP+Ooyin
oobleoBYh7IlC4ghIFkXUoqsJaY8Y5Ct9zyahgcvsOszGrIiVQT0lzQ1uUa5AiEwSfmqNI5OrJDZ
C8be5t5ot78UzCuP3NXzVR8JDGNLrU6gszS2+5RWV2Jquw1OnK9GvdZevDZEfJ556XDQNE5/bD1y
J1XkZkUxdU9kwRu/F7BkvDlVlH+jHANwszmapmEZMwmT09KgAzSb78luDiijgf3BEjUsK971Keth
lTKwTIHQjBKnH2/05qYSm68qJBZn8ua1CjfXFYX9im4+rL4hANg3ZxYsWqBa81hurq1282+xzcm1
UummanN3hZvPS323fHnlQ/jDAwY3mNp8YRB97HMENvbIVA2We/OPORxOMgNL2bx5y4BOpjOH2+yf
w/z7Ye791x3t92TMfz/Ft2/67RRHPB88vV6EjLcAi9oAX/r9FIePMggB5sP+sD3xE46af53iyOrE
qpSixd58Ut8dlv86xPEVIIDQvJEKB/oQY9zfOcS/n9G/TGMoI3AwoMJ4+Fke3874n4wmverBfxaw
1vQo+vzQywmGoiC8ddGIa9ArjnDWTHZqYlA0cAZGKUQGKtIFxCfua9K4w8PE3Dz6NnFz0E7ri/dO
NhWBatXWzhkv2oiTC9nDzfLVcfILlS2YCoiSxZb2MHrzCJw7WEEx14BLyyIO23CTeBbGoEQMfgTx
UC9jiF0vAOfiAGEWKGENejH2Z3iDDj2AEkDTjcEmtJ9qfZvTeuxxly1TmOWcKPS1nKVkHUbnI4C8
88Mi9M8qguB6/G99DOTG93+/9rfv+u3aB7sRRrjqYaeDkwcO35+ufcQlwWjP8fSlgH63/P527eOR
H4Bz8CX0FshK+aWDAb0GoMyHMQo/FHuKv9fBbLDbL+4dsBvE5RTBe/gT8DjGP139M/oF0MqC3sq1
C5fjylTjf7aFP4hbkLB+04DFcLwDF5uMNhYPC0UOhYS3FBvsEQ2MYGUMY5LMxmigqQkaciCThKw6
+4AnrHp3lzVPUGnf197MaePDuaYNO9dNDhBZVJeqB/6ZiyHrGkNjy4Gg8mWFpBsB+gCdJuDSkGiZ
nMZmhR7qtGDDeWy7KHbD8pN12V3pt3tWNzpRc9radV/2AO0saQiGOXW3YgJRTB2xiw3islag6wcH
qASgWIi963tU6TvGeoLHB3oMo4d38chQX490VTtw523qiVrB8tF/80X+PlaA4RonzIblA/pBkC5B
n1nHz9O6aa9nj37q2hxDKoSNAzUw+kDk6RLZuUXsK2g+K4904tr57K9llXl6/Ri52I3Knt1o2rsh
GPpO7Y1vMg1nCsR3C6G7k4m2/scA5VFOmLQiEgOkuWqhTK4B/CpjLmANDofEQr3km4xZ192hga45
q+qxhs45DO1dp8m5gP4J0BW4dNDcWXyk4yaRkrnU7X5wXL7jrDu5QfO5NQUWFqG4ggR/BfNCi0ZR
tOwE3UzfuTPwjLdK17mXGV/l7Z2zDku3b1xIojmR5AVW50jFzMovXuBDy9cTiOLxC/rMHR79nCcT
x5fLcfrAdt4kFbqsuLHzYViKG9oKnkHEWnb9UHybHJy6FV9eGUHuyDrfudZ9g8XtRNT6WlpkUbDA
+FmY06+lN58mki9vddEjImboYCrzoU1ZGJoCguk30Hcguw+h5s4VrFaPS4mXBX86Vlk5vxWzgfG9
WDFNBulYDNC7JYuygS3ksIbf3EpR+BSGZzsAUm86hG7UME3IPPL3gVPCAwU3WecGYCatThxVfMll
vyb1uKw7PmG/Vi353nPMazmpg8Jtk7S8nWOYRoAzmBVLBpCSLoDseaICqxbnsgjnRQ8EPb7vQhav
ngJRIH7H9UIsmTDiw8MGxPpQhzLE8kadWiyi4wKGmLHnQVww+c0Uw23X0HdrwGPUWC/IpbpBQT13
aIhjKEvnFu6d2PN9m1TodnWB2lMNdtr3M8jsAXFBsRfV763kr2uosqYOjsTkr770u4fVYVDaCg7f
mhc8hU7xMGNjSKLppS9oeeyK6LjO/VnkvDsLZV4Y0A/U4QeHsWPh81snMncFYR8dXW+aRh+kwrW5
MjSQnduOKcxv99YCnYBfIB/Lva6KKJNz1Ma4e9ibseZYeNV4L7gt4Ferd8CTzmww8h/l/V/0NbbO
/7m0pR/1/9xgkPn4i+qGb/y9uvn/i1EOGjrW5Rh/OQrf750dBWToQVqnv6HUv1W3zc+OVC2Y4De3
KPne9P3R2sFRE4KZZszHbP/3YjCwOPiltiGxH9J/hKAOJGBQuukKP3d2gxgrU6+td2kBohBZXoW5
THy7/LhEQNf/ddrGjxbxjxYSr8TDDgDaADADWJVhZ/z1F8HEKMFlyekSBLiDkfnEaRas46kpYSpQ
Xi5h4ApBmwzqNlrGq152T6GnYfHBQjSZYAXMpHbl2eogSjEZwc+7DGXsBN2GgeuXyXRd0vACh/wG
FBamfujwCxOvqy+KlLglwhbmi97rUw7rS+KDhQOsxs99M29pVdhewmWSRgEDhCfbnWB2B/P/kI4A
sVMjZxxB9JPDw+uIjlGMl/lS0FolkNYfIO3dO8184zjBzVDCi04mADqwwB9hirmZRJNjMnSfcJvX
McmtTb3tEBntcAdvzQ4O/U8R1x9eHr7lzfKqN4FbjiEq1FJeAi3ODL6RHYD8A4uE3ptC4xPS+kmx
/FBymifIOzoDYP3cToXc2YZ0GAYBbtdq7lJn3Kg4SIzIylrf3KbZZvLqlnK05UsN11znpz2Tb2Po
PmmTX6u5GWPlLvdhP+6xIzpA03aAXsLwOFG/xPYV3sbCCx6cpauTZuh5EkZv0QBt2UcAUo/dgxkp
MscgDXC0aPj8qj1U5W98gcpPWHDt2BFHZAvys0ej4YbLjTfBdbWgs5kKt9xJt77A5FTtfH/arw29
znORx4NL95HFe1tMEmcqC2za9dEbFksHLCPvVbsuqb+a55JhGZ7D8BIj5+vBTOPRDaRNtU++EGTD
xPm0PNdlGcCOuiLnDdtsU1QW3hz91a29r95Uo4GY3YOqoyPkLhfdxLQHInvXwL08I1nhKvTXNmF1
+2WtupciNEXSMPWIOl6ltA/lYRr9PbjQxPPFDgQcrDe4xLBhp1MB30/Rv7eVyvVu5c6wJAGbdeyS
WZY2XjwNsxfsW21Kwmnn8mnD3fR8qusA611EkREBRZf6XycSHZGEt7MrBH4EJHT2WQb+BuVNLlkR
N7aV59ktU1l5Rx8KtQu+ddjwBd6/oxu9d6XzgccAyLhHhVG4GoFhWmzZzIB1/pSqSbpHpwkAlE72
ims0dw72ZkEpQcAZW24RM9Mrq0KTzXl3nZdEJKab0QFvXjdz1VVwGQzmME3DC6zcEJ8xetmKwBKo
riXDLeu38oKaeK4d54i8LortUlFk67yAdLblVzbBoF1NlR/Po3sP8+l+VsOHRJ+azCOgRNa9TDqD
5nYsqIYL0TksLHyfK/K2BotMwhrOs6V+q+mDnQzw0PHUqTyuHfRJrU68HVCCIqID5G4/m3x6sJ6/
026Bfmvt7N4Pq2FHXADKuaVvLXXhBFVTKhyt4WLo9qPb3i5qetUKOVzlQp8RocGvOwdm58dt6ZVz
qsVBeY1b/3/H6K9BCNspinJB0cgB08LEtIVN/nxcG2N8Kha2XKYlCWO6F6f5QV0fqyF23ttPXSaP
0LhicUYvNaZIzjv+VOAuP47rn0OTNtX110Mcvz7CY5uwhvCQKfmn8A4txsA6bFwvNnzvxDEiQxzN
b45q4r//ezyC7EwkCyLghPwp2CIaULNKeA4vbnmFvI+4rj+i/IiR/v/5Pb9Wvx9vJ95P1EAX8THQ
4X59O3uwM8HoFuTCgrNmsLCApqCf/vtroX/1mf38Yv70S8aCEOPB3HKxO/MMIS+zB/KVp5tSet3g
GovvdQbEfecdnm54Wsc3FvF7zyYT2V11muIDVrZXQ4r/MVU7/Js9//e/z9vezD9/qFsAVujjKXsA
Af/099XITcBQQtwLfAA34o5k5Nr9lJ8QNQDKJF3i06u7n5ObfjcdEKfWnDGm3QGQ3sGQlHz/U/7Z
kQT/tZF8HT//xYZk+57fe0gQGajgaNKQcbSJPD/1kHjOOJ4ZgOeoIeToB6L5m8aDpGE/wuoQDw3A
/7KtQX7XeLAhwX4QtzLasi2cjf+d9SBSy3+5hLawyRAmGUaRbYKTyd1gkp+PpXrAEDarmdwiS+JF
RG2wZ9LHWs8ZQT5xt7sLoIUfRlTDm1kKs1MKoaED0s30JoROLdKRSiSSXGkN9xvl2GWYie0t1O6a
z921Xp0E1loaD/wLShlJvWY6+GyE9Z9Nx0hwsH0d6LAy349b0mcbLU0STvRpavWBlkX72Of5iOS1
7gsDEajG7km7tEtog46G5f2Xeolkqgxt436aDjNkoyRfVdHeEZ/v3YrSi+Ozs2ATht0Jxa6ZHJE6
LtrTuu4xhQ7v4Zh/EQ2fdt7Skixfuv4I4zuSWZVzD+qyvmye6LhhBSIjfB1AWg3DVJSMJjm4DmDU
y6WYQajryP9qSnYHb+INH9AmdoV8KT3/EWlO6OYq7wNt7YzQ1/xJ2zYre3McEVGBVtY9iD76itAp
mCaL4iCj+Q5RIdeGea9Nm5+rNXp0qy6MgxXqsvbIYxdWUDnwIQxFNyQ1vA9Y+wTvy2jmBLT+C6h/
GZsOJos+YOlEyYXX1E0LUd6V0Pdjp5n4dFoW9M5L232DGnYirL3hiDewcHsc/crcjwyd2Bygb1t1
Y5KQwR3IwLQg8y4NV3TVveNguYAoOGD8CHowEvStbuBagMUm2sw2dQt20rLqCF9LdJ3DkeP18JxH
m8/EGSWBABh8iTYDT79432oVLAyGqs3eU3nRTb1ZftpWwz8hQfkNQSMR3NF2pxyQRrGZhQhcQ9Nm
H4K5DLLUor41m7XIuOo0au+mg60/Gf0V9qOSolXbLElu4OwR8UUTC7cSg2sJjhaE44xR0nsFRJgN
HDE53twarR4M3+tzCP+TK9RnODbRPfj0RFvnzt2cUsWSjXBOIYCAA7kDREEG7R8Z/FUw9p/mIcgo
fFeLK2+pD2IiqiMWI+noE4FHK2jAPA+bbauAfwsZegH+bO9KdLB2ORy6ZN9vsB4h9w38XxhK9r2s
7kv4wthYv05Efw42w5grXZMu8JBxLcdUs0nHCv6yAI5XQITOCQYfumebCW3c7GhtHl6R3v0CGANG
NTjWOh/WNet2u86sPhw8a480FXuUAlqobQmQYdjp8V5nbJvMWgbcQ3ndCySp60ghvYmrXVX4Juae
+DKQaRdqGHqdekLcQqhUIqvxPC8IX1iiWibtEnwdpuB66sFjNAj76YX24AprkL/mbbYp88ar/tw0
7ZMr12fXMXf4++p4pYiymaJrsMTAnb0xzVc7pZGLfMQe4NK4knsT+W/LEHVQBrbF3uzMJwQEOEcY
PTWWpuWVlf0DpN6PopP3nLVBgsVRA6esL8xRhPgpqy6CQxPSTIse7Zfv1Mem8e4q4rUx1BqW9Jgx
oewiLK5RuIgXDn8J5r7bSpkaf56qYR6pZTznsBfhccixCMgXRHtV/9TZHwubrbf5zwubmw/7/vUv
Ku32Xb9XWvgkCKBHuBA2CeFPlRaYODYysD4jTnCzcP5RaQNsY6CQQR5DasiW1/0bTYEnk5MASzvo
qmAzvOBvFdrviW5/9GrfCy0Fr4HH88EqwfBX/FpoxQj/YyDK5bZsL/6CdTZ8ioiAGKKnefWQc7tA
co689oqv9T1f6GcM6QhsclaQjwV8ektpENcxRMDeols4aRUQLPY5KuR1PUbP69o/+VP7bRzzXe/A
BFdG4WvdgVDkqCKJOyGexWuu1ORPiRU2iuXq30ykL5KaoThjjfDMcrbufMUaHHd94kEXwL0evMg6
fM6X9bMjeJsIGR2mfnyS5XDREb1BXJ27JxF/QL7Tk1IzmlA7nNRkAR465uzyCuuB1mJ7qfCaV/B+
cHPx8TjyYgfiRMRV0O7awvk0dmWC0SEOtoMfqVcrYlfSNoTJT7TGzVbQoFWJyGle8xTJLTGyDb6q
qLwFcsnivOwXLGybtLTCT9zOwPQBU0RQ+WUCfzpEztapssgJXptVehmbRJjNJalPoSqjtJ9whjpY
3+LI2vxyNq3Rz6TRQmM+IVPDd8cHtgCgWnXwDPqvl0leavoQoW8YQLIECtP7zIxZn9xpWjEtc2Sg
pgECYzc4dbD6BtkzFRb9RV7TVKgt9B1HEmc2k2bZk3qGbdeyDB54eDfzfD8TapFrjolcBO4TDSGj
4mT66KrguiYGyZBYBwEXKGJmcOEUYnxC6NNbWX9oEZx6rLZw9htAljh8dVglrGox0RInK2SH+IPQ
XkdENYlc/DNwjk8LZaemgwjTBMt7DxLkiTbmPm/ovQtb39RNR0i4+7mqxKEMYCNwSnGAfgKCvffP
ywiwNXK68Lg4C07Rhj87VnPotM5uirw9KS3gdvCTXEzHNUIwNVFg2GneppGFv9QiVa0s4VUm4Xpp
PbHzR5D3DsgIrcfnta4/1YH3DSm3DUwt/Qvh6qoV8mkJi9e80Ze5kGUyD/wgWwB4ukXQhCoOYq7C
pKZYgczDqRlBy3nV+oKw+bh1+/dhKRFJ4Z2jqoRBrntl5TSkwp9qpNW00J11/ThS/VSYwMbdCIsD
CeVZzlDwVhePCQhf+6gfYj2ya92F92tB98QXnxC4Oe9BliTNOL4FPL9HttkuxLbBp8Ht3JEI99jq
XVUcYGHP2qtVIvjTz3ey/SolQjDsUGVmEntVTuiQtmYN7dClZEHKgemjwKChG9DZrVuLJ5j3Dktx
C1+JHBKCPtCFWBVbuzyyrUWcFXQPX4ePLbpH3pPXlRfXwP/ufM/Zu1ubGaHfFBAzm4jjMgr7ox0b
XIDisa5WtKjoVYMKImhp3Udcxi/h1s6iC8KOlN2h2MLWsugM1qyLEhPSL4xLE5F7ITrMNojrrVXm
W9McyLm+LDK6lxLnSrG11sIWJGsQNLxrWfR5Rv+N8MGL2BpyeEVEar436UsfZboKzh039ILIn72z
bD29sH310LXuF7H4CCCWK8zu6spf889u655GyFGwWkdONkjvphjyCj0wcpaWmre7SA4fCtZaOCYL
mWrZwcY99FHcDRHegSgENhrUOhFUX61ueB4891SO7rEohnuNxS8Ww+jtVnqDJdZZNXiVpezTbgAP
FawOTRcEolZFMyZ4pkf6z2j9nbzZdkP/ueRn9f+kSr9//YtnuGzf+FvVB32z4S0E9AGW0r8ylCBp
sB0BXoNUrRAazs9Vf2sGIOp4iPH6wS38VvXxdDfigZlB5Ued/pvuSJgy/jxfc/wcLP0IHqON9sP9
04qmz8UcOK6FG4Kq52nDoS24aAeqUhxWRl8QmAloGnvol4BilouCuseN7oTgm5HeYBzbntYcqQ/I
B8aEARobNqgw1RCNkw6xpaiUCEpotmg76A06Geiosl5ENuk3zLsC741IQHCVMy+gtYZPEZhwLGzb
HVvB+YfgxbFryw8aBPlQzp/EBN3T/h97Z7bcuJFu3Vc5L4AOzMPlIcFRJCVRs24QJZUKQGJKzEg8
/b9Q/u1ju7sd4XvfuaJcGkgw8xv2XlvIh6ZK0OFrabA39PizRH8+WfoNFIBLpSdU3YtEXW+EsVUO
x6JEv57TpahF0F6hbMdB9xZ1JhkBsgU52D/oQ5xv4xqcYz8ihwaN8OGi1dx3i2i+AW+4Darpy63c
LzjQIgQO0IctWvtgsl5J6CiPsudiAxL9DbjofbII9PkxP4OyuM0cfOTW4K21xK2q54ld9Iap3i7j
xNo5cGbwem/jCk90hNtrdoovNzc208KkqXK5s6HUeM14Hd0s3iO89FnWkwSTjTMFS6pxMWvTrZeM
1iqFfJNCwBkWFI5tGhVwA79alQsoR0DMyYfxYLndO0A9iGIWUJ0eJeu8YHZ8XT37uRj9u6lFPSi7
iSstZ9ocnBJN/pj7ZBksDFwCoodAOeGXt+d82hUpHtU6FcFB1iq5tzLzCVc34nkwmXuTw3uOM+tt
1r2VLFZB0D/2bh5fEETI46wXDXg0LdtLp9qMQr8aePOY3/s4ZzBprjI9fV7MmwAKen9laRjGrBiK
qnTlFDoV9FdNq+5iEUVUGqz3Xf0RlCoWHoHlpGfnmLtHuy95iVHURmJ6kU763bOKU6QJ5iJGXYP5
6IqVp/XfqCmw6NnWm2bm72yuKERib6cCu2JMIvamjvXTq9pw6uetZlpMc2Z/q8os5C7H9pKd3MgD
wYt2DfTvQzGXP/S88jdQT92V6yi8/hk99KCJT8PVXh0T5kAyXfOkO6lBe8QR/N4xiWb/xkXMCV5P
zYVr+2kqxY0aC96tyHyOCwQVSRM9gn696QSvkDRje2tJVkKZH1xK036LvPHJ1Y15lce5oARnRgLq
86O1g+vYiEssm60ZLYYhb7gdDftqKX6XgrlL0xoH0ORrsmKPMVad3h1vpOZ8xKp7XjaBcenAMXFu
k3TeW02xkjrNNvXhq9P7/k7EWrHKUiQyHHMUtLWGrHmBLUTgS9dD2rw2bXG0guGcWeYh0efnvgQM
MsAHXNfWeJCNs0CJKxApWn6FI/IB5RboQJY3q9n1dwsPbwMZwN9EHY09Ym9iZQIEODbmYSELAWRS
rqcWM4cJKGU5cTmljGqT2cNd1TMkMql3t/2g7mMdG4uBIkXnJeBMureUexZ98Mn0cVGDuE+ma58t
uxZrq4d7MSiJEHg54ppkhnClP5hBuc29BPuubItVC7QmMJx8X+B5NfIOD3PRuVS100s/xw+Gbn94
BaKg2PTPJDVEuzjWtC2r8avhgZ6p48wAD+l9mLBHN0aZ0/W7cqMsKKFFatqL/GabwVZoujl6EDUF
fNoYj2U6lDDFvPRTJtrFhXO4IWEACFf6MibDbRMk+8Lxf8xslzYdtm6gJToQmVrCN28dDflWOxcv
BXSe+DybsVp17lBtUPzfOH7zGCzujGbxaUCIfq/mNNhIe7DIo5hf6c6gMA/th9tp9Xrumzs7zS8J
BhDax/cJQ4ixOEOssjnms7khfyjf9J1zjxHk3AcgYN3FVyIwmPgYTXQNTXezeE8csplYkvWPFraU
NELIj01FDJSLGe0xP838GixWllo9F854L0dxx/PAi4DppcD8MjvUOt2Cvxn0coezv2c32D2UWGYM
tz1CLL6x9empNBHoY61xsdjIgLGsz39Mi/vGy102nosjJ3Ap8NPFpVPqZrfijA3HVO5LjDzN4ujx
sPbQMYEzW9w+zuL7wfyDA0iKw7x4grQMuuhPl9DiFwKRZB4Am6RhsLiJqsVXlOkNyr3FaxRPbOAX
99E/VdkvVRm7hv9ele3yr7Kk+iq7tFP/l6r3M5n82/+PzjOItMYsgoQZ2efPsus31YwJnHDZWfCg
OyYl2+8rMsokVF2/lmT81a8VWfAvC3k1f2cG7PoWysXfCY9x+Uq/W5oxiGGvQmnH1/R9216+3B82
HqBNPTTJfnBrFg0gGMeYJW6SRednaWVibpwEdOY7R1xzjxsFVWCxCARnlIKuCE5NGWRMD7OPjHNJ
1XwazC7eKtvmQZRWPi2ayPlQTla96YfgPvPHHwt8c40u71vQmzsNrkvcpmHs1Dsd3osP92WS2l5L
8w+nATTkieoUi/E+W1AxbteEcePuWQbtdSEkXd24BjcE1RjODOqgiznrYboAaMYFRdPraq8WOE2p
GR8CWs1UD86h8b1XCcdmbsZP4mjOqDRzZyEmuW8B3sxuwd9QI3w1yg+zBYwjMMlQHgDLQdG9ZTnP
fmEw9jU8nWEB64wLYoc1UYOsFewOqxZ+Wxw/YVvNLwV8HiafYNoFyJ5mgfeYUHwSmxmvxXyqWQA/
RhN7GwHzx4f9Q0k7hPWCAyIJ562AD4R55yEpq1vQsiiFisjZFgtMCHjaYVzwQkEKq8ZA5xDqoz0A
/wFDJBcbTA+Eew01DiGDui+c7NDC11ihpfuuCkYR+gI2ApNOLYY2wIrVN3S+2CwN40dnakcDKhIm
kBNCdNYOCzBp+IlOGvvxVC04JbWAlSYISzOkpUIrx1fez5vOeZ8L6LHQJ+EEQOgRrFOih3FBNjXI
hVsg8EGdnDSz7OdNmWYMeoDOVglufpYAUAJixzvkrW9ra2dIdqnvIw5BQhycTaSHRy+rhh2rierA
6yL1ja1jgQXFGDxEwIqCda6MiYqpmt394Ch7x21v52HeT/HOoG+mzC8b8+SR4/biV66/Z22lv/5z
HP5yHNKw/ffjcAscqvxPHSr/6rcOFeyqSygoG2B07foy+P3tPNSXZS7uEJ3o+MUI8n/nofcv/owM
3rAWoeDPU/TX89D5F5LEAMu+h2Vv2QH/nfPQ+3eNfIBdMAAZ4BlMpx2LH+L3G+CsgP42dZF3QSN8
jLt6KM/daCp3LYpBSgDpaT/v/LFtwd0X8fRcBQk81SoowYd1InmbrPYBwrsKk7bMOBr6Hf6oEMUP
Gii9NDE15e6qCsQHzsqUusVJNwyHwToDX4bwyPou197AiV/hGb6MfWVk9x1AwQdYc/tgnHD5Ryxr
KWxiPdUuWVT6IwPUGnaeFr8pRjB3UZSk7l2SK+/OKX1kXTY6cmvFqqyrQoc5V/noEjOwjSjbxk07
GVFHZkWbpM89fQkRDtn4kplBwlIsq/ZpIoSiI2nO8OiPY+9cndhWALnKZ31ehoMcZlUiP80FH+Qm
PdY9QsUaBnhYPT+ShcvdaPbF7U2IQNNzn6TO2qI/1gYt1Aoqonih5thSGqGvRszQJWsnw05egLT4
KNIyOCbOAxfHLR92JPha+p082seit790W6SbtuBFcfzu3rMyWgGoNXvG+gDHYpm9KwuQeDame31G
DVYvor4i9x/r3DC3VcnkryTzYTUJc898bFUOQxMWY3qwEou0rYJBLET2GRd6Vm5MURMfoKujJc37
yOyLNXZzLGu2ua8yJG2mn43rQE3mQQ0GcsRe/65XQej3bUGeghNBpGl3RRl8i5PqhgnbTWvhDkh9
TlBrDh68iIuEpJ/tFGnfnWDe5vp0AHt74b6DAh41oWw40IpyMeBF8kdXoQFjWJutOOM/xySY8AGW
rzzSHTLuwdu7yySEx+seJE6H3oBppSM02ujojoCIeyfGcx4nxjWSGuoYGoyVPjXOGtwk2216kMSp
XnthskKNu2PHO9i1/ZZRfrqbHEBUrl6zAyjtQzGo26l2Xoy2uwRd+ig6wmlSvX0u4uSaLIsLqfc7
I3a1AzWsBbW9uSoveoSudz/XPR8Rxs4hE9CYayxVodFEd30071UeaZhItc+m1pJQt2W2Uw41+2wE
+XrsMYzGToupVLdD8PjzkWnmrSDhYFv5zriWfWmtiyHvMF6NJ6BO34mFY4Tpwzlu07MrJF5T3bsh
SG1Z2YA8V1hUDD4AoW2Ib40ux60KutugsV8HLdHXfNSHlVCFu05660eh+pnAoOraz3Ld9R7WDILe
PG9JEikrkDDZ8GSOc7nXbJ7OaOlw2zz9ypU50yt4r87oPJioJQ9Dxcg+b8wD5aAVoos5JQN0Thf7
+lovbHs71uI2jV2gz9m1yIdLnPBsj4nHHkxkm7QI7sy4rLduzniF7QQa2GZSq7p0H0cD567e6D8i
037XrfwTL/ehHi3anpjdUqSZX3arPbfCC9ZFUTwXY2duzKB/UKozdqlbvFXKvnG0SjH6x7rAXN2z
J/feEr708MjoijCf+oM9G4QJB0zwAtjonfrsaqwH5oxh0zB/NJb5VvuBtQ90HBAy8O7mfihDv0ug
OzXQNcG8MYBPFENsts+611HpdOD3pJ7vlV4pUsAywVlrvUvXfugK4htGoO1bAohIXu0RqwqJsqFM
9csAcGqDfvRrmFUQlg6NtjCHcIgqb59lZQAi22Y73TPnLhhgw1AZPxHxFmujhRGtR6NzSScnpcqp
J8TVZsJ+vb6OJf2c8sGMGUQHZGk58T6lUCksFaaOUKESiTwX3nhQRfRelBPGJ411CxaxeDVZPK2y
EZ8uNj+ArGLeOGW0jW1L7d2yqQ+VtLcZTLIwQVKy9X3mYJyH864U9XvjO2RfaAAQ2YQwwbhPNMJZ
2LAFkBCWxUhXBNtJKzHfQJi5d0tTbr3aOJD8ccKPDUitEP6OsSHkFHqAdTQodUz6/nsGMGSLVsY6
mtKCeSYhVmVTXO6TsmSJMBa8N6PStmxuyHFk1rGKCdhYOd1wIDGCutTwcbs4hBbkwTEK5hstnQsi
Mxj3RNl8D+k/hLj74Guee5pbBl9JD6CNccid7JPH0kTinBElsgVKkq76RGsI2+o+3Rq3fIHxYDf5
SOWVgZ0dbQaVbZ7cdal5VyLECLMqHXZSzje41k6gVkKcN3cDFuuNJWoEVYxsyV5pLoEjPn2Yenkb
MZ/12K66RNrBqXHgWvhqg+kYgetMy6Lr47PRZ9+qTLvLm/Qhg6uyJkLM3YiGfWpjy68cU1Bc6Pa2
s2wsbanNlwTfGo65/iZJulkNfXqJgh7em6EP4Vg30bqKspvSZ6skJhE/10kOHiV6c5ktrUw+ugTp
/GiK7s2xNFjp3UX+1F13xWfE1ndDhktG8kr+3Fc+roIUVbWpafezjjpMy9OzgaUdnEp2k2PHX9vc
qY42cIAZxteEMdXro5MfqYKNozrStbHXzTSau/KlUCxgS2QcrioKOC72mjf0WLfGjZMX3zXp/xgn
pmkuA2VyofZRK76wGWzbvup2LZkzreRvx0p71oVOINVNIRjd9B74s4yGTnwQVIHCDdqBaLwDxOLl
qfHjdes2x7kdGWRlvD0Fg0vBJHyaeZ7TyGRKaNpfFrj7FYaLh1TE/M8c4EMBirPJjZUNiRywoJ/u
qNzeqcAO6UREKZXOyurc4+ywwWVpfuvWxGsH44th8cXlVEFIEDcZQ/ydVXSfdgwzx2NRKEGR6V4B
jq18NiwuvKCMd05iACHw6T+z9KkZRxrYFlK6Jus7mQYnkkrxa7j1tdeakWWFY+A/KHZgTxnTmWLj
GmOxYtjCghee/RZWM6PwGSsBFMeHYqj51fwSVyN158rPUwgE7OxKuzl4VnIclfiRGE66jUcfjZTY
VfOuRcln+rtGlaExnXwte0zyAXOJTfoXhpudEIuuwKOQseYPC8GeO8YfJKSfbLPHlBaxb29l/Q3m
zhJJMxKeIvWhueHj8xgrtgyMs54N6dG/LdIuQrT3VpzvTQDRQ5eFkW/J+9JtCsg3ZerCjyM9XXtJ
hqrS16CO2uaIu2AsWAOMgz9sq3zQ1L3i3Sl1J9VCO0KnHs/emJJ7lCGCYCg6ZcRDMYLbzUHMfLPS
tppHVnmZaeM2tavQLpBtRQPCS9+gMfSHmnFobJDuIki6Kx9G25226MZ/kP34Qv6is2Jzym+adlt0
JofEs7/Rz99NKdlViccOP0k7Nvsen5Ass2FJjIvYjzkx14miLtS52FquNN6/5b2jNkcXBtAhOdWo
Kle5tMOp8y5Dl94GvXdauCCrshXfjECFbWCfSMeluqnkB3cLWPCcnXnpP7VpihKx179mYrJ2s9AB
Ug7+3h76O5beZOUuUXS0EivqmpEw7/J7MxaIQBO6XYyO27p1T3ZNVlw2kKYMXdMpKkSiRXQKRgwZ
yuGyAzq97wc+0cLkG8KOWmd23q5aA4NIO7sr4Nw7aVLtogt7z+p0bSe3mYTX4agVaTgHpwGRE/jD
RQPcwMamuy0c8R3AOeJsA0apSi9VrF8ckgnycrjY5q3L5oL8nLBptPg46NUL+WOHLknfOq97kkGF
IWHWN6TATK73gP9iTd17UbX5nkpyb1uNk7GID7Py5oPo83d+wKdkmXR61IKbpJMQMQrt3UZN9lLM
QwzGSNygZ6jCdiDVTRXzeRwUjEjXeJWDjkMiu8dx/y2TPjCmtuNJCN5ypyILJnkpCCH8Z775i9DM
YUP73xv6tyr/D+388m9+bedNgwUxmiaCVwyMNs7vcQ9Ae0wWzvT4LjQ97H2/ycwWX7tjY4ZftNuM
IBkC/NrOMx4wAPv6ls/0k9P+bwm6gcH+eby5DDdtC7Qv2AnEa38ab3bNKErOj+lWdpG2kn4XelHz
SOhisham6kIcA9VjOhj5rUmQ30PbR81e041+38+RQUMwcR5U0dJGWBcLW+CGDDdqE098WbOLX5sy
4Saphw/i8aBLKbZFWZ1Pd0Ec4+IrSm8d9FH1aDMEbPTeWxEzFg5pUt0yzmIfSDLYlc0fCwR8Kpt4
gIvfGsYTGuh8n+dWvxM4jnF2HCzlP8Z132wnstZwxXHX5XD717YbvGu6OzIa8J/L2Uyf6Heqc4J4
e9vNxLhoWTmt2fOQiGZgPp/0LtjXLD5v43FZWpGMtx+lFwA/tYK9LOGFxbH3WrV0LLYE1L6Qufsa
vH6gvY0OLPeOgIMAzs7aSZBJ9zZ9baxvzHg4ErR0M1T+M6/mGVwfOMCuWvCBRLKUWfLuDPa3yWWb
w7L6Ja6zl8Yp841M4pEGKX3o4JvCO9JYzpcGJuc43mczzbzmFl9WzNQOi9vRbVjAdXPJus8RYttp
TrxNIkrh0pnfeKMFyxT5UGnRxc7VBwLuvRVBTbWl9T1S7R2n3XCCaNMAO+S0qkf/Qu+NpjaaL07F
W9qx6q3VeJcV1odpNS8geD5J0aIJTiCG5tMtajn6PGl0LGx1xMmjeWCy76yZLrbhGAe3DL7QMhb2
3uUYx4PobyrPitjaJG8ynu9J1LgRNc22NpHUR4wikrmIC8n1wc7fWkoX1gcmCEcdvI6S1kviGy2y
Z8bojIjDnHObm8350loQer1vM/RVSBcWbVwgnLM+5MD0SMjxHLxq2LZOoFYgqQ5wfiPdSGiZKaGU
k2382qBQ0Wbz2jig7wa/wfQfZ5+1Ke2VSlJFawn9pxIBFrOMyXs28yKnbXTQFAFzMR31euQDvtZ5
Uq1YXvOSvmhICcjzg4UcWOiPZRK1LL8w7UGPXzWOoGwK3GIp0SmddJZ2KvpSytxDJnJI4XAemy56
N8uSBKKMyb8XXOzWyQ8jW4tVMfYIPon2IvPUvvU6ha7LbzpUH6m7nRr8caSqraPOOekpEIagVMFa
p9Zv8j49Mva9QQlIZ1SlvEsdM2LrtSU5Uxvj7TgDYrBRa3Q1c+51UOBMxYmIgj4J/Tr/SHIHoBNt
PulPRKR6Ey9s8Y6S6jh5ozxkGpziPDWMW2hKC3hKS66IM+Njif1jBfDhMtRwqkTgbkyFgJL7lOd8
IBEqktO9MvDxq1pmx1rNPhwpM9rrdWdv/Laydyqm5tQ1rBGyLm/iRPdIP+utY+vG87EWhgZyt9Y3
VS3vXXbv2zlTR02PX6VWWHemAKfN6ZcdtNQOyCGRRw29azyRscj84632RPwDakXIALO37z0hvmYx
dxSlgdU1/9yfv9yf9l8OxB+6b3wo8m99++9LwuVf/naL6iz1oKLZzm8Gp9+G4kCTFjeU7TuW83Pd
97tbFPc83SByL4KCfq7ufr1FPaLnuXYD/PjMEpF0/52hOAS+P9+iPqBNfgQYNTbJ9Do/+u+H4pqv
WVkz5dVtrzgJzsKUjrjA0hfmpuuK/M5L6wFUSu5cHNqlPvHptZgtN2bxyNUKA9IoTrXZvOWqOuZt
ecUqH3aaiYJJRGffcc70algiPJJULKYVdPOnRB9fZlF+/dxtVYNJX5m5FXPLeWsUNjj4OefoRLxo
2j33RifO8I5oZnwbj/RQGh+mhl2XIOJ8O8aDbzBaYtpwNDO3i9FCacwwwZ0AtCkYgbiMw3RLAjGR
By/1il3tBUc392f70Yo6lm5RMeJDDX6SnZsF8iwW3HP/k/w8/EKBhgft/SRD5z8p0aCatDBo/UYg
x4Wmu6mbWK83QNPRw+Tj9NG7YKHGvHzxuODXXTLu/CFodjJ1caRWkHnHGvOEn4+ogKszEgWEu21n
IxBKN/XMJDQJrE0VMWjUo2etmQ/o5K6DV6xLdFc2XSOK4tM0OrfB4KqVL92FMX/FvP5NatUN+dMa
Fpf+jD8fAqgm9z4tE6GIxnXotQMZ4JsywrkVyx9chKtCG/dG2h3J8dzHUX2Kg/JSmNMFPt6Hrtpr
kNA6CvcpCwYmx94+MuJbNxnaVZ3Lh1wiYijTMJf6bnTaa9P5oTWNzIPtl8LDBhSwDPbbI4IwFKMF
2EIR/CiR09g57P+x34yVv7OhBxpVe47S9g716ht9Tuj1fig1Y1N6yWWuilvEUBQGM9nxNkxBk+u7
OtObr0hnws1lr6UYt0GSXATaXcbvNzNhLH3XHYVDu+Tq76ZDFmXanaXVfcSVD1uftz72gke7QchS
GDvfnU6oF7tVH+iXngGhqsWlcc17ioZ1N2tPTmIdcrG8w30VcgseWu5ZHxFdENVfgc1GtMxfPJE8
IRu8dom2jaRzQsu5ZaFw0QVXg6uITLCnj4EfgmvMCIk/AlI/HxkcrBsUXLFnbLV0uhmn5FC1IBZ8
1Xw1nnlFKXNtkBdTTg3Ovec0DHHH5ALv6azgHt42uS4O5JYwqU7NykKnyDxw5Uz1LTSD02jwSPUk
3OZDq9FnjTKUbfBdxdNFn5iKF9aJkeL9VHduOMl0QcB7oVXX70jDePwsl7sR10A9qK1mRe/IKc9j
MCVke/aPgIw2lmYBhLU75FQofFZGBgLHKuxFpthMy8iIFUtinKkXrnaTMsCwiVgQE+844J87IbVd
y3Be0g3ucRJCr249sa0n49yJfpdFxPlBGdLHtt/wdPBuLVDcoG/valJ616XdgmYjIiNRLTSq9NaO
spNVI/+2xk3h1hdpUliOdfEpMUJtzVkLzbEdQxEpXqzOvXdy/1ChCguxyluUs3Bwo3mCpoulo9LN
YG0mFFoilaciBUSIkX9dmNVr5+HAUyasCq2YL71hnRkufXetmuAC39xHEuX0xIZtVYrhyvz2uQvc
I0Xt3tf6HNJkia0vHc9OYKjVYHMCFFpOcSNh5ph1xCAulfVW9OpU1ca4cq30ljDpp8EFFJok02Ps
OjzvxL2Xi7nAz24j8sJJSsCsbTXiKaAKWQcp8nTb0cbTXFn5TQLU5B+T1i93v/GXiu1T1f7P/5bx
V/71Hy7/5Z/+evkb3r+4+BczFmjEP27EDRplMi5okH9auBY71q9OLftfPugCFxQPehLmfVzZv17+
oObwIrNkpzYAOoeJ+W8ohP6s2EYpzjIeL9gC6mGdtvz974iJwvfgm5WBuGCJmB0PdezOrl9+N1T4
DzSGP0N1wPbyXWAx4NsnO9Vnyf/H71KT+5Q7M0VFV4k0DytfJ3suQIGzjgjY2wirhfimTAOqD8ar
HpHsOp+jG4KHxVWXyX2eotp0kvQ06joJEIbmIA3t81VupPpaj5PDaBaHfkjO6UCb2xsnfR7vSf4+
13OFL8i6TZv4qItMoXZefEd6DbJUES8DKEJxXAbfIZ7wCcsIaxUddl/UIz9SZ2rYV7vohQBKIGGP
+PeTh9xRsVR3j6M2F7tonDxqnRZtVWBCT+nnitFjV+rrxrSfCaz2iCZ3rHcTD+xKw8q2S/UscTdJ
X8t8Uyka5QqMDZNpls/7OGCHdDAsBoOrwfIvrmrVtPNYgy2lTwLk2pKW/zybNflstZnvGm12nZ1R
jcRy0Cx5UOTXvVN0imgBpPi3fm1qZ76+BHSJ9lGb+ptKK3d+ZachvnS8zInJztTzaaVzOzv2U+36
d3y/1np3VOxxrqpqqMJYWdeKmme6SzBnozNVwU3QuN5xIGr1DaaU/TLQzTL6VvMDlPnePvgVUnWs
dc44U3wMUNI4vgOMc9ji3NImZK9nuWvKCVtez3Id67s6DOByL0HfA+XjNcf+NLffWrrkSTE0VBMW
66BODxq978YzEFjEqNCv89AfhQ5NPKiM4Bqj0V8h1WAyrYJkW0lgtFNmQyI2Qq9OX/zCGU68dUPo
1um8aTpUG62JSn/Kp/ToIk7f0H/Ou67LjXUZRPalTQaG7Kpud6417Ee7xPozme19LIWx8bXiDLOM
ZJO23BKAfW9XDhTjnhQAN99XZMuGsaXftcH40GFHe4qHyf9R6RPE3Sx0x8n9UaV96BQAEqPaeNS1
fhu7HbLwKsPFV2wzv+We9ONV68rvbdt9lWnzpbiUa6EtpfAxmIotBwhZDPMOCPtZ+UNoBd3ecMwT
Rl8UdcOH7vTnutC2Obh1q2GZ26tP1FmruPqM9N4IRze3dmQQ8kM4w5vjph/57NpEoWTtEYZczCRk
PhGHSYaveQZUHeLQepO8fW1nEdTgexsiLbaIkve9Pr9NUbuJC1wDtV6vIC2ikG5L/cBORYQGbTeU
hjt+x6uDtDec0jkO0yZizTXo6TmxuaCSyLzvcpjLY93dxObEw8zOOq8nMJARa1e/UDcBHyKdkFwz
aCAA+ydfWid7ql7AF64ztky9Gd+XtTx5/Hkwg1PRD/dJkB5zU24IIEo3cUyrr3D0CTr7dd8wX4gb
/ZJp2XuVGe9Ud8e0JcQ394+iN+7n0QjJoQ+rPD87tljXea1uZs/bSw27mM+Gu868fb+YKRtJhCM2
azWPR7+a1aGeSRJAo/G9UBHE7ARrt4pRcTuTle3qQO6i1tCus9Lq7V+fvOin/tTacfKim0JdRYfH
3/p/Ot8TZeBFcHMG/jVuULD4ZGcOuOMBbOWnrrDIBB5YWFekXhVy/jJk3d7XdaY/+jMUsGqarn0j
TvoUhVngvehTt6sT90eZiZiCkGw8DBP4WxaG88wznS/ZUZHTMpgAeW7Xgxl6frdnq/SB0qZfp6J9
Nr0EzKbRoW/XM5hf5Xqs1+10MGTGADUq4Vg0OxOlfU6IGnj/7yovHnpPHHs2rnObH+seeZ+sTn5r
BruOtOawVenenBJnDfNp7UZsIxLCZGPupbDV26utemMNif2oJwGfayvWT1HHjE8005NIBwJC3L7m
WTBv7RRmVu2CQZ/S7DzI+ZK04pCNzs4ZuzRMwR1EP4d6PpvtAusuNpKNE8sTmfcDTRBj2Hyk+Sr2
3GvM6SRikUrBERHNbSbyKyrimLHgkIduqaVrS2Kdb5q71GqHsAA/jxFUPNkE7i5C7m8MBm5SZsEE
msm138xbqr9lub8zZOGsbONNFCosLOwBgb0Hqnq22up7FSzYA9ZxcaB9jwx3xtdRow5DQprlhXHQ
5HKWdafUc19NPWf+p9B/aNkbGHADfKfKNnYS31qzY4QIhBftlvD36AP65wrS2U2a1s05R8F2+OtH
9c9CZR5UF7AR+kDkIj6s6D+WCAK57tQAPb3gHQ8tcWyANfz1d/jjlIMvyTTUAD4D+eXnqINdxu9L
HcudS4fwpviSu9Tn7m3ap/tUXlkh8CQAUiDdOBCbv/6eGPL/8AH89++6/N6/K7B6mXXStjTtrKvy
wcHMv1L8B7fia2xTexALK9ad77y4kYUvFU3hMCEhyMtxESmk1bps5tdK805pRx5zWyTbPBiNDz+x
vbDQxZPrF2MYZ+rGy+03N8qmo5FDnOFpKqtNP3vlxpca+c1yAIBXKnXoJ8/6qErIYcydrU2app85
z+qm1skh4QRWYUeCx3rog4fezucd5+ETGHbzQOr7XaK67wiK9lxKj23TbN12hPjmiL2lJ9pG6FQo
+ViWOzX3+rpG7BE2o8NEPZ2uC3GkROiAQyfGrh6oGx76H3U7EqEj00Njw0Yb7cdpFi+2nh2djp1j
s2iH04i8HdGBRnR75sizuDFH9JQqMkMrhz1hRRmnrP4yEPuOULw4+8m0K5txQyo9T7C+ybq4WENb
DCsBBUPOgoTcPDpLNFgokRlfu/Paj/8fe2eyJLexZdtfKXtzyOCAoxu8STSIPiI7ZjeBJVNJ9H2P
r38L1OVVMkWRpnpTTcqsTDeJiADgfvycvdcebgMTscNQKHdtQ39Y18mgm6xmoxQoH+GpvADgYcqT
XpcF/XqA4cxj953BmLYzdBJNbVZEhjvZGGwHD5VQV7Vnug4SAROi9Eq+4U3G9kuzoDTkxi/k0cKG
/YvH7VfP+Id5WA8cuuN4q5yiY3blnxW3PJT34Al3QBmPNlvP8lXrF8ZenAgnPvz84jNz4p3X4Nuj
Dt9JwJcA4zR/uHePuigCG7ysVE7FylhkR21ZuAzYxEF5sFxoXZ8uyvL40K2B0XUv/J/kPB7VxT50
vTO9ufQXn+b7je+PD6ODoSOwEwAF+9/3H2ZU+1QKEQXngNwjPUEO+FB1259/4+/XrL9e4wMrFFQQ
44AgCdhc3/wKwOP1z//9H34HC+KZhY1k5ml9/x3SwZwUnHFs3spVifmuMqg5/1ih/mWZCe7434++
QYAT0P1789fG/fx3387umv7brFbndE6zndMrN+C/jXsJ152OPTpufUaus1/95+wuaekjMKfiAkBG
pIzGbf3P2V3O1BahSSbJJsfu+Vj//3F2l7QIbNIYhHSg88KX//7xaFpClq3c6K9ade8TUDPe5PXm
3Y/yg6P7H2DdP0kufAtG/KhsHZNRhAmA8MOuKej9RVFcF1d6D362ppdUA5wMdC1jO1CrEi9Lbg7x
9ZSHpn0OgsB6xO2ixde2aozLQE0HjfSSggov35XBcAy9ZE0naz2FNL3aSV+OY3Ll0UxPcmU31g7p
0flto8LeHANYKKV1M4T11hthLQXp4GZhI1aGLPdK0V8UO/6cjPGLQr57WxQ7cq4fsRUj3QqDi08v
0taSnRXUJemx1ZeqtTZFEvacnKW1CUvJ+Bz05aIx+m3ZoSeiyPxE4lip10u+3qNvqjuV7RkoSrEv
h+yNRAc6BgM9+jF98wrS9uy0YASuDqzpdeXCH6ewtPqVnVX4EHsNo5Glfh7qbK9LiC1CZsxL/L2n
aZ+qgZm3FjYPcTrW9C3719qU+1FWmVtGxSkLBqhPpaWTxeMZSy+vbquQpHdLkjHHYfyU+jjkm1q/
TnoY7JyAH5VIJ1PGGtZMrEmD15ovkVWitKUZvLDK/CrL5cHqK4n5sgwXSVxGW1Md8OZQEC+HqAXS
Vmgc1WgkUvNNDyLNUcojks9b5cboFZy9WnLXp06BtCh+UspKLjQmpA7BR+ek6ek8KvEenAnKAFEy
u7b9o9+86lHuOjQsw7TXlnIoUeMxFPEmsGReaXOe8sW+sttq1XTWZrKM1yLEc9uPFXnK8tWm4lnZ
UfjFTpFK+dKeVmXjoJUwv8iwX6pl+BaWCMJFHW0DjdOugE+W++kVE6XPIopow0gsAJCSd0kY0+fu
Gje0Z1++DgBV1k2/lorqLI2svcJP+ol2BkHzSQPWPKhmn8KtPzTlKrfA8mUermHJmafDzQV1D62x
Hd1qANdx4iJ/c7qHWEWdFY7mlyhyng3B8SboQbbqwAQXCtOsU5aC3fBpJC9ZVz75Y3mbSaMga0+/
+AmkvSCnDSWG4bmL4GsVfUlabc/vYVnTU2x64HvxonXMzaToTber1E+xn6BJI0d1UIjT6fwGrbLy
pVHsJwWwEi2tYGnpAgfK4OFxXlukQjDV08d4V9BFSda9rEpvW/BrOBCkyzvD76cFHjmecjhmn2KI
jjtjGqIrU+/vylLDT1W8kU6yC2eqSJIXv4umxILA9ABnLsrpuCfToQop42SzSkwvQR16nznrYTMG
Y3RMc7SJinJTtZEzu+aSkiT6lICEDuKhYg35qnKKfFknhrFAvrv09QKorn5CKwArEbm0YtXLgndz
Ttw917n1GNjGW6gO5YJlrcQBIdyULnoXUGHa8mVueXF2I864ffJbJousOTdVJtYkad7kQt/1HL3H
0VqZin/P+PCptg1cPOrB6Ul3seyrMQ1OU924E2YGAuV+R5iXoNKIVnHdxGuS6JdxqS2suuJAiaK7
KrqzBWC/KmOEAFAVcMT0OIKQZEa2wiBSuYxNdZ+GTrz2tPqtJiZQK4cHpX4zWp7EzrRcXUYM+jyI
/mAOvB5DJkMARVmr3WjdW3SQNmUJTS7yyWI27KIpzrGuP6a5JOd3Imuvy3wyrKJ5BhTnsqDraUz6
BlFFtbQTZl62nt7HZe1WTf/Y98l9XSpP8BP0a7U1pis2vNKtkvKl1EDCVPrvg2dfymk8A/XzV1mK
YtlA371iKGwzIUlCN51ShmipPZ78NLgNff8zzhJl2cdtcqgQBWKc5LjvZXgKZBM8ZYB5lD64C0MY
VI6u7NuufmxFPiEp11PXmxnOBZ9v0YXsPUsnZg1olcRc1WT2XJTGVu7MCHn+ODr92p/RnLzl9YPn
1O1KNla65W22V2XSrKTZdVt6Df0GFXJOBEo+bvpMDXAuEjriN7gzkFsb2574sy2+zCvyyG5qGdAD
EJuom82WikdAJn6hyRR32EYfKzHc+kZl7hzZPuaw8OA7Td7559vufNj9sOmitrPnHZemPNn23+/s
ZtIWNNnL9iq3CSQWl8i+M/nUBs7X6Ffc3w9FJhs8fjuKSzFLCjDafTig1nU+NPM07MqGPxbfl6Mb
KPc//zq/usT8398dDMiUSZK+TfqrgheTpNZF0D3L4vZ/cRHHAcZMbUX+04eL1AHxcVHW91d6dVfm
x0EhP3L380v89bbwU727xKxGfPc9GtT6vpBDfyWBwJXulMLJ6i+Z9RKNv7jSh6PUHzfl3ZXmT/Lu
SknQGalJ2vgVuqGFyJj3afs2RSS77tL9lE6/aI18L6OcizzUnbQJJQMInZiiDwIQ4FHDVDWix837
KBqIDOadHxzG9PHr7/fvWUNw8vv7swad07cqfEl+cNbg776dNQQHihmWDt6DCo2Miz/PGsL8TTBD
sVgMULqC+/vvWUPngKLrlkrxzx+ir2Ol+HNOaAJ2AsFFP+2PQI9/cNb4QSdZhyWA4FdnVZqPHR/W
Cbq2VTYo5XgadNycrohJwzoVFqzUL+pEa41Si0xidnc9hG+3zc047lHBDRErmCnjG09DD29DD9lW
orPGhW5qr4gs62XueC9EZtwydU/hp4H6KydTc5FL+dS7an3KTfNLUNjsuCn5jiKrQxebE0lBdVgR
6tMzK0uFcYQWl+6ULGko9/GD0cM1ccdGkV+dC3rj7CbOEY9ifEAWlK2QwI5uZVDNNiVMuoQ4iiXp
F7gucQifZTfuYwNuYd54B2b+sRsrDup5QAkIPjTwwGQtjO7gWMFKb9iGS2o8CLVWsSoHdkS4j6Qj
SOUpYfUuzCHbW0F7J8xApdjBC4Hnolj6zqicq8h8JVtuJjBbYoPy9ssURc8YK6DByE6kOwCO3rGQ
0fgJP5GHATCALqzjjg+it8aftCfKXryWuH/dDh7vyqoTurY44WkiO5lzAIsj1mavKntZDOrRCLNm
EwYaEPWqNY+VZV3biR/dUgvu+mC8UwpI17nMIP3Z+bVlYgwjzYPsJVUSdJpziptiPC5S7eEtjLFy
FAEKYGsEKfvUFT6mVlWPD403imbjp8pImTxVlVldAu5dp+FzPo2Cmn2h+MLzSzBJau8sbUch38h2
Spy9UACMXdGM2p2itUm4g5k87YFIO5cQfE65yCcb8wnxxrp3cfCh4AOJnS+dcOKjhiVX+CkjyI59
evXv6vXV9T9vlX+/ep3yrHljpPjX1Wv+u2+rl6b+Rj4QcHcHvSKQuXerFx4CdAosUqZJEgMm/z9X
LxMiAJ0Fi+XufSqkbpCmZwN9dyTiRpSP/4hGa33tUfxZThkzFE/MC6et6zQ4KHO+303TgmCZkfnD
OdWnzi0AyxHGaj1Zto98u33QGpRt0zVEso1WirVW2tdt43/ykilejmg6loWMV2U2nswjaKpXvY8/
pbCmVgKVzWasMuBF4MNGHDOwo7aqn80G5dw18Dovgy4ipU4Vz0rWFZ9FQ7gPmvV+HcnQcydgYH0I
8cTzqz2pONjmZn8LPhf0zU+T0mBSwgDTh+XLiCMGz/5LhUNmmK0yZjOcmq/mmdlGU+CnaVsa4LiJ
uodRtZ8JTQsPWSG8tejBoqs4cijHn9XZoiPx6nizace0oV7h4ulw8zg0FEgnuUWkiBp8Xc6mH0Td
n7D0P5EuS7J8/lDP9iDyulE+4izEOiSAzXEngL6GZ9lOy3L2GBF7+XuO6YgMnhL+Z392Quy4eajt
JKwmzorBmCMMuJ376ZZbNPETPPJywUfcAJbFtoDPKZkNT81X69NsgvIkfsjZFtWZDmRenFKRpxzN
2TqVzyYqL5xlhNFNgSzfnG1WcjZcIWLDDZH8Xs1WrEari0VQqZtqtmkZ+LVG24Ezg4FLna1cQaa/
NbO5C5I7955jK2LUhWOhgJyNYLVqHgPaDzkOscH0YH7iGeNgeeEkcSZDbmVGhiSJPjr2fsDsEwSU
gdu3mQ1oyWxFy2ZTGrR+3ACzUS2ZLWvJbF4LZxsbwQA8bLO1rUknIPzWi1EoO1/B/NbW2tJTlZGV
cbzuLRMDv2DMWeqvI9SCJWyxm0yk0SrgzimF/snIQUbQZ1irlmkfS0XsEjs/FRFNhXS4D+r6M6OP
fiX6cc4lwB6YR220HCv8kXHU7LoRjgTg34c2rApCDvGPh0F67WGiptExbFOir9zKx9Y9jWbPAXOn
A+8h79f+wv045EVxkVXgxqa6MUSCtT6A79ah3BgT/TaasmdEOwdqzVM+MYmcmmzv1c1RpdukpUgS
ErXY2Z39Oar9nRP4G1NCRTeZN/V1eFu0Cpn0JrFMM/VevlEZ7GLVvyhq9pzVySczxnaTTP1R6tVh
1tW2XQxYKx6uk7TbDB7uydaExdFv8bTtRCVdCDJErgZ7X6rIY6EEFwxw+1q9UonNctupWnl+89hb
NHhqOblhxTbVsluPk7WvHO3GCIsDoUhbGcN0Y1Ld7qKOOTI8DR9iQVZ0r3U4wrf0tds6rx8w8x8o
iU5tIFeBP95kaoKmgZc+TgLX7MMHP7Y2wBu2qRnaO8yAG7PrCbC2mpOeEZNtW/q1jPwdleR1qnQe
mJASZEG16xz1UR0YKNlqkqwcrb0BkURCNLIZRApgw6b0sW2YU7XQAzFGaRhUlq2dnfTEfCbJctMr
sN0cLLxh95RV7bY21C9TjZEzDLX1VHuPIbQq+hyTkqU3NC7HZWL3iYZ3AiTFOOj6HkknchozOWD/
PEqH+MOmhaooHMjLwUV2CQGCQMBJlTr1Hg760Mk+d9hUF0qVnGnCbcrcOVdIC5a0vNy0VMU6NMR9
KNrjgL5Ij5Wz8KLbab6Fum18Ltjh89pf61p/EL7yMKjdhVPuWY0HgkXnFszYv2gK072w8PFIltRm
DfeiEvjuW5+UARujh66fRgctahPOuYVkgAG4XNWmuMf1hnGaIK8gWhm1ct0R2bXU5B2tQKam0+co
sW4no/GPmVEWO9X3bgpiQ5VMJdcIloicjGdRmBtL8xZS741t1KCo6atB28a0kDXNf4tHJr1WlquH
0RqPQmD2FTi/XTXECFrC+eShKJYaRhjCP9RtnbaPdR/eltl0HFv/zqvqbaZMUAhmcxgOF74z3t/k
oSmDbjfIK+IeVpEKuT9CId6kw8aQ+aVv/LtQnWpSz7qtwoC3mexdVZtUkGJb+Q4/jbjQ3M04pI/X
XavdxjN7UiXWYmXDd1p0Al6ebp7qhP1+ndQwLtdtX4b3RhqStOmZ1kHLvFkekXRuUOLtKSdrEdod
b+d0JDIe0mrFVxrHYgvMYmP5mXOFKAsSaUNSyKSEaDE6WtSAiAec9+lnYKpraWaRyw6D9RfP4arQ
EniUqILzZgvnNFwNCfCRvHO6fQSWDPPt+CWr6p3BW0xUJmN1Hbc/RJXBXhuAtrvc11bqaFYri6Gl
K4IavXwamUx2Ux+xdFNcslI0j5GwILIYU6W4rd0b13WfTXuMAwV4iUTSCeuYMtIEmJLVJJRjr1d7
BBtX0GJcOURrUHz3aend+CXt7FLjPAN0U0vsdg0w9BEiRbS0fIwUgo5XFw+bFuHyWm+azx3CY0FU
p/T0U9ePbDLhCgWT23iwmPX6rkC2sbKt4IWV9V7Vq63XBxfVGN68SD+kEz+Tg4+AB4lOqqI/FpNx
sMIUdX2iL00rXdFddpUi3aM4QA020i4zK+8SqRAU4vwGb1q4sNJpR5/1aAzhVlRoxeJilzoMj3M1
XoGX9KFS6tdOn942NG27fESLkmV3GQIAdMzxAWXzTlUVcgjFklJoow3lrvGcjRIHO98qD37RPGDt
PCTArKHIgdm0EbsVrzNEI4r968GjUhiNYj15wRqqy9Iom7c0cI5Kli1rHrqBzm7rJK+mrqKOc7Id
+Yk31ezV1+Drc2BCgG5ug0G9rWMFznAGCQflJqZ6H7x973pYURwvmmXxtdtEYpu22mNnSzqnYnAh
oxC+qIyUFoT+ZICKxyR+xLS59IXhw3rVUKIz3m79BE1NdO843ka3pyu1QwaKRP1u7IWrR8VDjpR3
paecyRQS47wq75i24HogkvXcG+rZ8/VnfJvmOoyKtfQsTKHhzglVxyVQEALd9FaM5DUW9OpZ35uj
qfGw+HlvkLxrgeIcC7Emas2+5ETBZBJXX0I+eNCo14mEUwx7d6n4ulvXEIU8KAiLqlbTbTCaT0Yf
jZD9SwMO3nAcBrtdKZg3B2O6LhTzSdMizy1CQPSoHBaq2bpx3SXLrOZbE4Wwdealp0SZ2AHJ2voV
9kyjiE8FNFUYGzRqtepQCL9caWaN77JKOaMNNSUiwYGS/2+MwQF15a0fDsUmmTjpWpg5xqZFtjjv
2oZ8HAQvWqQiragGjJzlKM8iDs9xHy9lJANme1N9LLyKocugP2h+4u97IKxOnTxBjZPb+XVHs4nW
OGM3j6tOf7IDMJ6FvBb9EB4dHVaNKHZ+od4B2llMuQE/p283vpqv1DQ+lr4K0YdAHd9Iv7R2nrCW
a2tft+9iYnrDBvxEZ1Jn9sO61prHUZQ3zlACniqscyT8c4qLIbHkeMiG6L5MnCc56DcIwvODoUfZ
uvXN3NUa+UQDfecgAlxGZIBuMgD5B6UUbo4pZ1XAo95GSYJQJivYHX2ZqvrtICKNYwSGfdyEySi1
aBnrprLWROiBdX134vvBGHjunf55gELo4NBZMtF0sMc78N0+HKC0UFUHTcvCCzCeRZadarAtjvxF
A/dDE/I/F0EqTDN6jvz6MGmOPYTatP7DizrSxjmppEUp8q7p737+XeY+1V++i4UkX87OdPWrpfxd
a9VTVYdTgErhrn3p80+Kvv/H/z52PoGfDiedQGP4/WGzdka43GaaXLKeB42syZd//u/bUuMX4odC
3fJB2IKdHNybUWKH4txhXBnO8ef//ofW8x+34d3v8+Hzo78VgcJSegF/osDXEG5lrSQixLck+qOj
8rdpuz+41Cz7U6H60acEy/f9T0X2CTr9KY8varQFatIAbE4XvlyyDSvFL1rc88f+cNu/uy0fxgOq
CNMOBlNyKfSlU1PRLXm1WFPHzv3Hv993F/rwpTKLuHRAZF8vpJPrgqYscNlH5q24+MWz9oP3kpGN
wCLC7qhrGt3f92MC3QAWz8abXWp4f8lLN6wN7/XnX+cHr8v7S3x83KbaoFYy1OyS2S+R9ySV/8Xj
TEsbSYwjNFrfH956sHtGI2GFXqC+o+BcJOP/YvFChKOaOt0fja7yBxVVppBv15giv0zWS2+dW5xp
avOLtetHTzIPsWUwQiFtd+5xvb8RTpAW2Qjd61JR+I1Lmxa0cQ2ZNi9WsBl/fkd+cC2gFxoJpxam
QPpP318LFCpNNmBPdFSpSdZoRAlns8pFTo118/VS/w5sZiXX37c8d9n4Ay7K/Dff2p3CwNSFJszC
vmX9xdRFijo9UG4DG+Y8J/lm6rKY8ECJtkw0kjpQFf7Tt2HN3PFEYsXCrmHpouX5T4RhVJDfrXbE
sauOg/pxxj4z0TP0D4u4HiRUXp3VnNPYxAOTJ5yQ8hT5zPWodRNkqdAJvMlE6t2pAQDxLu7Xhmg0
AVAcuEi/lGOIXbC0SZu6EOTAk0/DqzdIhBSDWbYoCpJA3wgLQQvDAJmENfg6j97HSvGcPMMgarby
ympbp8pWllp08jAYRk+ej1DKqH7BllFNE6B4z6rx5yD9hishoEduorpwTkGpckoYKOzKvpefSgAN
sQ2NvWxxFS1kHKGmKvvuEI4gIWGTZmcridsbYcb9ZzUzjIK8jMD/3MlqcBPq3WNoxjnqndw7R4oh
XbITAhiaAquk3evjNWdvbwcFrT/h5u5pa3bNqoLDmfcQVuFradWLHUI8ThrwW/hTDHIHjKi5Q4oM
rivIDOLvEmfTBUmP6Imod0ywm0SRFHuTSuE+g0qTVh0k5SZKfKNpoF+a6niu1CpyY8LtXVkIiqu6
Jk8DxZn+mdvUbEtPBeYuCrLdHaxaz/pUTFfBhHN+EWut9jlGFsPJkl7ZiGfrUTdq2tIsHVdZgVZj
wp17adv4lZ8025WOKW5FHarIqVWCoIFiOAvDyoPzmMY+Fi8jPBthXW8ch+YhOZz2eSoRR6QlEnWS
SrHXwpB+hdKVHOHr1/dtmrdu7UQcxwixOlHUJZBDA+AlowMfRuAlu0YDpbiMe+orPUSCDTgrP7BW
d4e6jvcg7CayvhXbLY1x+NKTZ7i1i9TfDzlMC7rPloIznj5MCoUhx0kByLNpmFqVo51tCh+4pyS4
ZDEY6LEXk+Z4+6RSzHuUXA84sLWjptjFhY/vuUpMQnudazD+qkq9jFNAXrndRzs/BNuW4+NAYVSM
N0FFa7Sr+3I9hu0As2fy3Lqsa/+P0ufflVVS7/z9ynqbJy8/QkjPf/VtbZ2ZUwxshEmHDcvovJf+
V3QLc2qGR1mS3ZxoHP7Tt7WVJCP+pygZvq27f66t9m+qjvVxnvxo86jpHyGkEUZ8WFuxp80+FTyz
RItrjLW+33+lnUaVbLXxYjd+dWVBjb0JIe095onU9mMfY6URjeXaTaee+rHwFrzJCBPBpd5bTg8A
Vc2TDVnWIZzg3FtbSlOBSS8DqD3qOUkCh8gd4R0Nw6mudVjVi65j+LpqJwJLCJQbtort7AdtKhdo
x/D5FXr8Cj8i26B+8WhqTSDei3p4ToPA3+flPIyY02405FeLmkAVWv3jvaPRN070l9FLrX2LkMAF
Odwfsjgniww76ZKsRm85JOolpo8ODjOGnWOWKH9ZESiykL06M0dG/cqUsaHLFKPo5XUDcaacJv8L
6L+nYIbRwMlbohXcRyQl0fkAWKNBa142jP6ufOE/qlBtwlavWACza2MG3oRqo2yaGYIzzTgccvus
dcJuxM5R7/DBAM0JSKKLk0yuuxmpYyJaXYSGD2YnhWzl5d31VLFEFgnQqVYxyDI1DJpKxBdpvnOO
dKL5upFfR5lxPgCF9FU6I37qWrNX44z9KeH/tFr0XM5AoDRpMvCOZrQWPlpNv8RS6HXcMKUXFcjR
WHU9U2wjqRAESY7vYHSbtEHyiQ2meKF8jk5DI9+UmLTfUgUcmaIdXzH0JzPWv0V7fp1avr6Ih2Gj
dcm9FvWNQwO9CReVlly6UlzlGl0+vyboTw93haJuBg3GL52btVdwHSzKBRgo6Z/q2ijw+aTgp8Wb
Yczrs9nfdgEG4po5+pz6Jxdpql4s39lmab7pdOMYDc6p6NVNIFpa/Ykv8NCZV6MXuWDNL+kUNkQz
pK7D2HAxGePJwE5cxMonWzdoew7yYHot/6UFj6tVEINFCXTIfiViEj3D+Kl0kHQMXsF0rEDUgN92
TM9lbOT1knK9faUqqZboURgawcoCg5gVvBVpGB+FWVbtoh2TfF84DFwtUQ1Hn/be7t8y9+tkX/7U
A3H7kjUv/7N4qT6/VJza3j7EnMx//G1NJnhO1Sw5L56M5Vn63q3J6m/wi1TaQ4ZG5Nt7cZLxG6JC
g+G/6Xyrkr/Vu+iWTM3EIjFT9b7qBf6BOOn7M+o83zcwuWrEzLL6O2wN36/IeiCUvhlTeQ7S56k+
D8PTuz3q6o8uwf+AurvCjt3U//f/0L35uOZDWaKzhwWEXBbDsD6c71qmn7Teh/bMBGKtacWXsZDn
xItuqDy+NJUgo66iQy9JuxNKtoMltq3KaN1alHSmYvIiMLLOLOCDtXoXtYFLsfG7wiQU//KxNUCk
ICbuF1OQXEQnDOglXVOiCU9rhrkDeGCfHxEmX5mOxNaOU73oVWM3BLX3hR4ypVcamKuxCenUEKD0
O2gAjxA92huSJW1Rqb7yGCVYEJxYvpLjnbqNsPwlsarlQcwaVl/YF6uwlHViV48O0901h3UQuVL2
V9GA1EfX8sYVeEEWCB4OXRU+E2N9RC9GXZqOzLxh+SVZvgXvNlE5l3eekWz0KcSNx9KGPgyOYc/h
QQ7kliuXZgDnUjOocFtprxgF3FoRBFJmv3rpPMeqss2Kdt/gsVga7Xg9xJiwJ2I/fAaypIjsS8t6
8UTXLxorgpqgrNo4fGlqjwQtS+JRsbdomi7KxJ9nPUGd2lMd+3swr1SzxlFm9LwrrTsl+rQycUFW
Rbk1xxKvg3Tuo3BqtkSeXFVeTkD6FByaEA50qTVoV6O9nJuSiYgX2qQDWpnkbahnnMHrIVi3drgb
UbRTuiJf9yJzg0OhXqCFe26lsybKfMm9gDmTNczG/GyP7JJRRfcgcx3uuXE2awTozXSJQ3kTpB6B
VF66sWR3Cvpql489Z6IISi9CD0YxW+AHR/gNtzQ3WFej5AFw773wLMykrZtX5t6eDFcZqmfSAphu
Nwxf9Pop58uzBA/EjE6/k3i8Hq1gSZruSo+HI0lYcOpKH6riSMJsg8kaLQNzZtN65i1wozB68j24
z0PdRK7Stjw25Zcxj7b2nAmhF89tpT4pCkMXC71D7EWrboDVZySfp9i7jlPS5ILRP8ZRFW/YTvGa
KNZdQGlQAg8nbJgcUzVNPzsiZWBCys3axhRysmcTTRia00opUIcY5m3kyMe2qLFga8gUkmJ+e6L+
VhV0zlswzVqJS9QoQXgowrgZbIaF7Ygency1OcFYr9dOUoDdRoez7mvz7DcaIxjDvKf+ZC5Uevbn
ymkgOguOSIuuMLElp1UHpyAdFQ/cR9iF56EKOYwUDHgcfgpsJoW/rJR57ErezYocsIpTnwJVdCJa
N2u8+Ca359opbdVDYXKkDkYN/WF1aBoQprKod1nLcBgACIc+ray3SHWjtR+2R5Pj/KKOC+zxk7Hx
hslZT4MmFnh0i3XelLlGwFtysRKV8HnyQ66njm/secWrMY33lae/WHG5ZX07RYFIl45QlNWYKEcv
1lQI7ERaxKYxLJskT29zg5ppIciseGjj7KbviGGCUIc7Hp8Tg1ew4itaH+0qL7KDVVosiIIPbfXX
WYuXqLDQgObj3sdXkpAMFXXRspiaYxIpm8AITkgeHhjFEIin7nuHpLNsiJ9lxGSzDhuGWp55EA0w
AU+G1ueiV7Qlgd9ziEjZp3exSHsXX8BGt3IM9BMmXlQ5MXaysDpNdnzWtWIbO/W1KBHKJIzKhpQA
uak3Vix5O014LeMbs9olIwNppbhDUrpEwNgmq7oC/TH2QFNZc9p9r5r5cza7h4ZQwaiMdHNsSRHl
ctiaC1NeACpVpCTEFh6DKOg2mUzHDUt/8OCVXAHx4l2W0gKmOens27GKQKD55wx/+jKxdHvXxowK
ZW7dGWWO9ZiJFil9GladUXqea8TlnemNdzbw08fJywiSaPPaNVpfLCwEEg0H502holyCIpMvE/5w
UXVG+1iFie0O9hgC8Q/7gF2JU4LsYFHFfeHqdlqtxjR/mmF4qAbcwRrXbZ0zdbH2cTl+UoNo3ZHa
RLUWfGoT7c5uSwcAy9DtciWqVrmXkMbagvtkCP2E7I5gi0GWj61JxkuRo02PAx50K2wLPE/6ozYH
53maMbh2qzg4WdRx/fPt+S9dcI6CJux75IfzwXHWQL9vvmppimDZj7JzQ1yEMWB2Nvvrvqrdn18G
1eGHEcLX68xd3tnj/NcioLEmGiUBaDwYILWpfWJVQrmQPrNcVot+dOZRerLthsJN7HhbawFxHxpy
4ezASnU04KVGTnxNhvmNyTFHD9pl6zSLzPfe8taEysArICeoP6pPufbfQ/YPCpgffnIYwxaNdoO+
Ep3M97+QkbZ52Dhxdu4p4f3xTo1wxOe/GBw5f21ME4KnE7DELAe3qPXhPtRtjDEybrtz4QfAjky5
03MWBtXDahR1HYcVpXtUiiS/zoC2jI666+1+1swVLFQ6GuYoxXsytddtoDu3UP+WbQ7DHAYtbwk8
BINkc+QH/jlUwv3gIZDpNd4bMyWAdgQMeIPe7CUmXYSA8HAz9WBzawFqCecfEAD9Vak0F6YT+Uo6
spSRgcQyL1ESEpQK77egtAlMWC3aWyitl4GOZztnOA1WckLtBd7DGpWtKvropAbMqaahDaibwIIE
TmStROjfe61I78reYP8Q/tFI0fLUZtFwPoVGkLPFzePsMSKas1C1C6ND8DcTFkyhJ0dPfWml2xKN
xrr4ZCtozKxebMdIPiV6Fawz6M1ERFZE16qrSVJ6DLxmK9RI+WpQ0m3VwARJxbBv1e4lDrXgdUyM
jfr/2DuT5cbNbOu+y50jA30zuBOAADuJpNqUcoJQKiX0fY+n/xfkclpJZ0nh+09dA0eUZQkkgK87
Z++19SojizK8hMqHHa2pPNQjQInl8TrT9RTUkmTDCBn3ldFcfvzOSb99HxiQ1Eo04DPgxX5963xF
KEADae3BkOQnxWqy1Vz26UHnGG8zn34LGs7hORp9SSeQJSKdlRn1kruCATEEpiMHzWVLcukwy5da
YT4oah56TaZVXgc6aptpIEICXJ02CQVLaUTNNjKL+orIoUWrJLAfYSJCWZg7kYbOIIOYi9KnYDXo
EJciJc/h6+nZ/FwX+hO0cs3ppcJAAiTf6fLE3nkKUPdLK70AilxrAiCwQX+ITR1RvvxDN8bFosk0
YKWkvYy3QJovjL52qkK5gfHMG0JiziTfaD1JtXF4QzH1OjOstT61DyaRBaCwC9Glmr7opHq36Ybe
MTXqzQpoJ9EnNYZ43yeBd8IpLeVRUoQHKewrVGyz4oaG6PWzMIKaLjCq1msR/KNFLVMGisRqtFIT
ABamOewNUg8HsJYs83CO0vZWGcqDZY7bppielEF8rpT6KTd0l2ThywTfAt2AY4FV28h1bygQKhro
OyNg57IVXSWlkGxpdblFM7l66q+ycikG6QHnEgZjL1hXUJteI0PwcQWIjtoB8m7xTmLGWMlkvlD4
u9AbOGjQJamGB5mLgQ7aNDvUpCM2EMVyIg1Q0WCVC9EJBRdBVqgkEmGfsYqHA/hEKcVr0HiEHebW
ViUiSmLVTP0BfRTSqjor8QtWMVomYU3zYj+T0GxYGJMHKRicRmTSnUkTj4F3aoN5Io9iE+SQpobq
Ijc1dr1tKiC5GsrNlBo7NSC8eFHaagVCSqWMYGPTsA7L4VJoOCWkhMcpmVuAWkWZfNI11wBnBnwc
u7pOYJW68Y3+aykK2MXFS13DQTz66gXYKURfvu/vO5k47wb6OnGY8I+Gfl6V7Bs2xdQ2KyTZm7pn
F2IUizHLxwHm19InS9vvZu53I/W8ySuH1hRbZdIdSAUnH+mSmCNn7DPbH45JfSlxYvl4bvh7M96w
3l/v7DgtE8nO6YKZoSheJONHP0I3vciDh0HdfHyhhZN41vbHFIXWA+0KJVt1yTZ4v/INTdtXaCDH
wywRlI63nL6/L99qTVBswwKVQTL2+7KMRBvPr3RpVpDU9JjIUWDZojvwdx1kOa+qaF6NuULItNLd
C1FxxD9wk7J949SDDV9eMjHGVU44atZG33JMmgItuOugI+VDC8N2jf14r6E1Y2PhTpJIg83313mr
GF8t2bop0Q9SSdl1SruNFHk/g8LTSus4JMG+Ztk20NMlMgx3GMhCaDpjKX3NytqNUn87lCDMUhAE
rZY9zeIErX4IHqvRqhFE+a0rN0rwyV39td6yyIF+valnFfBEV4HQ+eZ4MMdv4fx9Mj+RNXz2988W
DlGAsawDNTpE5k0ZE2Ku3H3yWnz8Vuhn71+mZ4mYyMF00ORTRDYqt0mEI/vxRZa78KviZLlLeGvZ
kiLU0c9evdFoBlLV+BYEmcvtcztk7EnuotH45Gm8qTz+utBb+Qt8pyax1FpsTaWzC01xlA/BXMoH
tjHPLGqr29TzV4Lb25Hz1c7tr1skahffryMnvB/dJzQv3xnRzUbZfvyF5aXO9tcH+eO9eDesz+Uo
Fg472o5MI63XrwBzuuNNt86uQs9yYfLXnrTmPntwjm3w1i64/d5VD/nzx5/iTTFy/ineD/mz3nfq
N6kp19z3h3EruzDlPOtk2MdGtcPV+qvmXOirbG0dQm/cQOTa3JJmth43zHv2vC4su1lROltZK+Gi
2+Tr5hjC8rOD1T1NkIPokEO8tbbFHhfjXebdfPzRlc9e/LMdtCA3UQpPkPfSLuzSa15Kr7yVVrjk
Vv4qXEUuiMldsT49X7jdllCw0Yl3+PN28SFwWHxcUKU/fOf+40/1d4TZr8P9TWzwTjGHTb+vDZ1P
FW4tO3TmDdjTW0LWE6cgm872bYxDdro2D9VG/kYhzf34+svr+/fn+dc4OpttmGoIpSin8SDOhWsM
w34WEsIAwa98fJ1lVvnoOmezDhhvpe9nzEzsqe1+eBbHzaB/nxS3ErExlN7HV/v9o/75rc4rygJR
n6j44u4QGgknv+syuPr/u8DZmU8ZTQT6uMEOibaXY+qAlrH6+AqfPJhzIZKQlWZuoOI9FIA4ssQr
5Ye5Mz95Kp/dp7PJrZHSJu6NuCU2mqcyp441/nOB2C8TtXH2gnXF3HR5k02HoR/BAKKZGZ05O318
sz55u4yzWUn3A2GiOMdqMOqOaqG5SdujgpzcgP8TD/KhJ0L440v+9vkAD0eFhEwULyUv/LtxSxtd
8cuo7Q4qWYSoTBSE6fr642v89vG8u8bZoEkDwr+qUB0PWqxSv7/Ksk+qCp9d4GxKnJNsBCFU9QeR
SZtidALL7eOv8LY+fjTwl2Xt3X0KiU6S/ZT3mLOBTfrNrt8klxwRnB2SFzc4onb6BE6nfPI26Mu3
fndJifofaquQNeqBwjBeGwdTt01k1JN0MW97+zQ7JT+wNZf4Utu8Euzr1l1W9dNjdVJ2nNpDO3an
1t7kTrj+7OP9diF/v3U5f3OiehDxWrUH6bgs5ILdrFN1m0uOnazV1dfc3on2tH8Vv3M4q++mPcCm
T2avN1XmRw/l7Ln3QqOHlTWxl1j1q3kFBkPWbWufrq6tg36hrLvVo+z5dk7F1iNWYw2K5pMZ+rOP
YCxNwXcPCXKQoOZD2R6EPXFEIDXt+IfmQZHedy/jpnSzC2MNyeY1eFSccZ0cg1X88vGr+Xbw+uAu
nMNZEhJIVILG0Yl5o4eo1I6WXd02cW5xeG23+I/s+UB231dsuKvMK9fGiejFVeeCRLfDb5/xJZVl
Y/y3z/PXcNfObokpWPSGcqaUylXX+lpPV6M3e/NFtJfsZ0zFXuKY23JDUe9idIw7l7xOHlG7Tryb
aLVsEv6zOfhXRyUxC/0s8a6eaNT/0Z8/PGUv//s/+5c6/3vHfvmdnx17Ygc4d3BQWlTCbzLUnyoq
8QvmAQmah/iWR8TO4E8VFTLUN54gKwZbE2NBCv7ZsVdRqGKhF9E4c5yhZf9PFKpve4O/XqTlzALa
CESoiQjAoJZ+9iIZUhmQWDZTG2yMxk56AP10w2DRG5VqrY3efGr8YPCqUgtdaZrR1uyyxuwIfjYi
OX6MZAKij6FfdNVWjRqIrHiYB9EtBa0zTqVa18OJoXtAGxXdCqD42Lgqs+HFzdzAuwjjbwqBBFdT
PgX0UHx0rwFtcNp6+SKVldU59No31V+1FIy3qi9kMT3x1kibR1rtMZW9MZ0x0a6UTm+ixpPzMZJ2
WYad4SaY4WIAGPSX/KQiqNcWyGksc6TQjj35KuirYmxwU+UOlS+t+0SX3GGs5rWY6PU9YrFOooU1
6bOrNHj6V5NszaObdopeAVzxBcJT1VIgTbuc9ctuakL8/3Kh30S6XpM1YpRY4PKpARMdJu0NC2Zt
ubpapsdR1kN5XRn8/yloiod5UK3YLquAbizl5MLYVqmkiO7bm/nvEJVYtT8YolEeNL8Zo/zSzzFq
fcH3oDEWIeb+bYxykMe0gMoclSFbuz+HqE5gGP9Dg6hTU1jG4c8h+obNAKex+CgMeEH/SET+1q75
dYguGktTtERVx0Opnm2LJF9pCcoztEM4C0p9JxMCRaBMPmXSKgyFDlN73MjRZWMmGExhgFZrcUiv
RAF/DXn0GTnaYxs5rSH6NFtMvam2WVGzkhtozmitNAyopvF3g5IOIey+Yk6uiiz5Wg7ZtS6F38YB
wQWNuMOkYz1Wcw1mqDFiC67C7xRidVsWSW4AjBTakyigV+zWwDoTgnnwFQ5KcxNK/gO65zLcF6gU
p1UaZsF4j5uZFj4Z0+teq5OyWIX8Vd0puqnNL1Vh0jcTVI5owXOwKRxccUF2+Au8g+7Tt2DBebR6
5jtSmXvNCIOygPlBFsMGMHprj9BAsOPGaL/Rq5EgfRdBDJEvcYdcFlBERvbkADABi/ipfytBGslo
AViQR+L5SoJDMvTNVwQIrkp6vPVHR+bfgbgUmv77QDylT88v9d9H4vJbf45E8DVYNlTtP4iaRdP7
c7UE54tVQwUjTfkYoO9fQ9EizJYRCvDGwvQjksTzcyiaXwyJsBtUaTJC5oXL9Q/0bXhDftl3sVwu
9T2OIazOkO3Ut33Zu61oPw29imJ2QDiFilNtSY3pp2uj6HsXKOMxk6r4mejvHPiocqu0Suz0iuDf
YBB+FULRA7Kj2rNCLy0wK1fMU8z2Bq56qrjf64CwzzFFqoIZ/Fq10mAtokumDUF2X0ZKRVga3zsl
utH7+WuIkwoDe9vZcqk6I7ERG5hXO2URdmYGSVeKlXtzKt9wrdXQSmxGh46+TzdRpDbBjGA6uWwT
6w5vI1CKJPgRNzgR8OyK6ngMg2YDBYvkMtADciiKnkpNBuRhfxplgA5Y4HTbkOGhZqhc/EBGWFY5
StXFW1HFYE0pfCOF+I+tdknqhS3hdlOpuErir/Xkrb+YWcRyqbdIe1AAW6tOUVx686Jd1VoEo3ba
zlKsOm0emkju5nvN+pER1lfLI9LabGf07QMJJxFRc7g4VAVhXjf58El6esHaOL30YrHtJcMzFCiH
lhjeBxIdd8sUoGVgIcf2TMdy3sSycRwi42CogRMU9X0haN/B9+yNImFjgCZNMZyqkbZEXlzJE6iV
QNOvTe6QHxF/IhS1N6TpoVataz0SvyfjTHoNfDhbE5FXWcZwl8nqY4xBVC4NpNZ9rnplJzW2NRp7
CZikkMIh0GeRMF9CgIc8JivPvytHSGmdsA9qUuaaNH1RBabhXrgtFRAc4XhNfJkn6sJDJ8TPKRY0
W6Nl6NRlYNjzAolAgvJqTNON2AmRzT7uksd0MdAcr2hB+uorcAuYp3ydoZu90igadlrRTcF8q8do
s8UAAnBM373Oi29Krj8qZJew4IxPajfwfknAXeAeo91uC3L60h/k5n21agWsL1EhUqojZJ8Az7U/
egHQqxwqS59nHUQR7Ry/OtF2aUHD9ePKwExjU1aMV0JIxWpSTDyBVnIft9ykOSdaUgsbxBiZfN3q
pWuV2WYCkGq5TZuXOzamwUHuivuxeSQRRGHMPdL2QchQiZswgJ0wt+pdUU3h1TTU1tYneMMujGZc
qz1gDLEbVKerJM7vXQjOQShf4Swh+UY43eZXfujHk9tmSTXf9VoRJbbWjyZN+8BP1BsgxICCMPTf
R2pMhKLU3YhIH2wf1u8IS3hlDcCT0OOvjNxaT+XQrASglqt2qNMdlnjDzYihhlihPBa9Frv4EFDP
hbzS+dDqlLpreuWa4ghRtgpMa7wxy1Ff8pGPYzj/kGlBEn5rrljsPHHokF2SxDQTh+Xm5FOtEiJR
wBgfRlWlvx45s2h+jbTcA9HroyUEcdPS4CIAqgZfkY7FKY06j3DA1pmFBnQQhCahb3dqmJPSkYx3
icqudlIkQnKIYYrr01h1d1aCuBYtgBP4w3eo2fdFoTxkogFP26dSnirgP7AgLDidey1ETlfMxIFD
DTkMfm/Z+UBMbhKmF+Iwr/m3MlkvS6RVqz1CPSgRDgpurSSv01zdlbFxX1bRZVqr30mkJJIjM456
S3hoV4gI0kLFVirUsVMbCI7oS9/FMb5G73PBw6tsK8aK0SbGXdajVJ1TEh9pN4cuzIQVZH91RY+U
mkICX7plME0MPWNe4qbkbRP0nPPD9prooW0nSztRMvZ+114kGgBpaPSgwQYdGnmfWQAXM2wOBoBE
FXklENf2ReBo5RVWRe+9syK7LMVD7lu0hNJu2sgQN+bAfxKm7CJM5jthUmTcWtOzQK/0ZirH0akH
EEmNCvN7shaRSfU8YAmH1AMlscjyOxja+7AsnyMSMpxAFrPbMUfcnMt3BlGXjl/yNFLD96YuEVem
bzJtDFsjK31SsTpo06wOZftsych/mizlXQNuM2jAnwKh3tWiRCaNmAa5SwB64zV+21gkqDWt8e+O
6D/ZhRwY/vuO6OIpoRB1rvdf6qI/90PylwWVhwNycTVjn3q3H1K+UE3giKHgMGVPxI/+PJpYX7TF
aW0Qia5YWJT5g39WD8wvOvZWjvoGO6a3PMN/sh86q58u+yFORRZhPiLfl4CMs7KzpcicU6tcOyZ9
SoZ6AGTnZhyTnO6THCXrge0cnBdWV/r5q4D0wa1ag4lfhK2bxIc1lk0yON2BSZ/muSl6YzcRJLvE
qSvkqptLwPqwRK0niLQFlrpLY4lhxw+FXiiAndkmnjWbL1qMrobdWbDy33LcdbLq8nHYE1bvCSbg
EYoV3XXbN1u5H/Vv6UjGUxOHSMElzghisZnBmw9ycF1JhH6K+jSvGhkWe57Vm3aWDlZjvRh+dxUp
5hGt6xZa9E2E7lMomgchMMt97pN9HlrbOlSjLVL+h7QNHFMIbzJZuwsic7RpGqMtTZQS72fwiPdy
y2pHVo//qFhEW4cK01df0fNs+2HdhBGfWTXQKcC1r+vSQHdi7SsF/llSy/ukSQ8VqYw26eIkyqlP
RNYe2zl/bRfhBNsuZy4GIs/9cpcZieFk8Jk0y1xcaTb+f/ZEcx64iRzfGSUYJ8WYdrMvPJj1slSq
4BLbeNsFOPTRo82cizgYmqTLgzFEZDMUG/y2jwk1G1yl6AEVMrEAXs1OUIbPTYb0ChiOtsqlaa0j
EaQ5oawzUz7Ae5HZjaZ0UOv6vvRD1VXqVzYL4kZPdMuFQwrbFUoilbRXYYQ1hATiWKVdZaMrzp3e
qG7N2hQuBJRepBpepWxUrb7uIbQWZBOVhqMt+5JRDKZvE4QoM1B/GHhxF+2zRa7x/KjW5U4LVEg/
81UFwBw+6eMAuQZVfvhqZCo6oSGx3LKJYcZMm6QZLbtWJVpD3fAymrglkLGDOi0DL5a75ymscQlr
imf0CRhAiZ/HdVl7cqQ332HByRe4rUGvZt0YrFtiPdLVAOpuzffXN9kkYaXwtagDN5/VEy1y04AO
BMqKJyWzcXCJ1YWbtdzxOWcHEvktQcVt5Fnk0UwEYaIt52AdbqZePM4MhqvJjA2yokzYYFiSQZLJ
O0WJFUcNWJ8qfmeOSuEYB5hBjFEsXIW3jTybCh1jIk0izoFo3JJcwJ6yKqKdaY4zVUBtcAvwiAgz
ySAU+95Dnf1sAvyremx0TFKXSgdth+3c1dQYwapJ40Olk5gmS18xrU83tUSyWS7FCst6hgcZZJzk
16VrkvBo17qSuOQ22ZytOLrniDMVLOi2STttncm4SoxcBL89IGnNVNUdA+QBIKEuE7l3E4vMhQ4a
L9JxwgjkqPled0vicCkjEqq3ud4pixFlJ2CT20lBaiKXjyV8hHn9TabKaWs5cHeitXRbXUoHeWik
qyirS8BcaebM7YwyT5If4izzPYuUVuBxg7nOZywNSYK2s8haPDRCLFJBrAr8Asvz9XWUqaq/r6xw
nQ7DgT1E7AwzAZm4ScOBby0K9DCCYi9NaPAylC+FBWqT/DVcRBbSonCR70MoU1qarSVmbrI0Jy/L
0XFoEcr3GCBkYWp7M8D0N5TiOtKSR7Gv153Q3MwJ+5Y05ZiDYQXIWXLZdHXANoAdWGTUa78sN3rX
vAaKTw4ki8eqFAiQlMhKkDF5ZLdZE6cXVtifcu4odpzIcrMCpW/A1hrD/VeKQd6glvvON1/GQpZI
oMh2WKewakskperqzb/FyzdroMy6/d93CJcv+Y/iOfqdVXv5xXfbBKr4KHxx/ukE973fJqg4BpdQ
InRJHL4tWoj/2Sa8hSCRKgSh4q1+uSzuf20T0Ar/jE36B1sETf+1ZGJqoqgpWBZN6qRYEK2lN/K+
e2ewEJqZHAhHSUidrkW1KarzC5y8wGYTrdudIoLojb16CrJ0DS6svrbqTLiSjV5QIPUVuXEdBBaR
cRZDZdU1Uv3VNyNjetYEE0csdQYbIqu6hmjLOJTNeR00WOka1VLXhilSUV/GKzXQ0e1LwfJqBjMA
L/E5qBjflYxNoFjG/NAx+/TLPNAW/LfKMjdgDam/lW/zxTJzzGGv7Ybc2MUxyUJQBgEbZvDAmHA6
uftOxpJo98tclC6zUsr0ZDJNTct8lRmaG2IxO5jLXJbVceBay/xWTyyuJJBzFkvIsiPZwFbY67uQ
Smm1LnPkTDgoB77mFDc5oehTi+h2mVMl6Wuk4sdpkOFwGAxXOtMvNvAck6B0OYkxuUhDRH2jhH06
wBjGraa2aWuby3xuLDN7C998l7/N9su8n0yN6DZvi0Hts7CZywrRlzBjeSzCkbyiydZYSOIWm1wL
orda1pikL8areVl3cmR2VyNLEZaVcGMtq5P/tlAl8xx5OJ3YJTlKTqJOvCxp9bK4zW/r3DhiP2ze
Vr84pBIMKK70b5D9l+s+jkvR5cXOt3nd4+huWJd8XTAvIxWOiY0//jIhkwSGqlR1/pXUhY9piO0v
zPWnoEaNP0BidwnvekykNnD9tnwVrSxzWiG4SH2ouGYM2JEMVPg92Ws4ayuiEdsjPtbJyfDiOmpt
YrqnSMahWN/WfWXsZK2UnB5sXxgzleN8Wash/7Bq05FGjVKGOi29Lrw3Ax+glTvqDXU/yOplD094
B82a3YiSKiftLcaLY3ggYpHiwC9jkFyVMYBBCs/iquNFO/YFIUN1pVV7XS2KlVDgY6WXRiVv7tYw
Zr6lPeHX4ihhjByb3TBmCjb0QPI01TcP7LM9IbN+yEJzocfZVdF1d76gXDYlZ0RbFsrDhNRtKy9N
q6CYN4KGjyNrtRR7iu+7pvnSCuM+SglBVY2LKYRMYMThuhrRnUN45jsfzSnHZoHptxf2mhRdZKEZ
OFGn+Ze5WTarTC8VrwuDm3AaAzz96baO0XZUPCQzNHblEBEEGuNulBPzKegGRqAeHce+IM0Ji4ot
tH3mAKXHoJBurVZzzbp+ymrTHkgIZhF81Y2IqSXzalqLJNY4Yt8UxCCL12WD67SMt0avEiQ0OoPU
kvXZkoU5jOmdCVZBVrs70pzMyU6sQj/6EPh2vjm/lpV0rc3d1oDJqWSZC+dbgTAz7rEfOLhonkJd
Wes1doEgIFJIM08NHj2zkH9YVF8ojEKxtqZrVYA7nVXl5VTNwE9Up+QZE+LK1lZCWJ/1Tj+LVH78
7HmepttheR+lJN7igTvBqD5mpICxx9/6Y7ExMnDdAZdPNQQ++XiYqsmRyTXOfYiRoFxpEK2JR9oA
9HCykmpeM3qChoWPJIJn3cRwI5Qbgd1mEuI2LQu4yKLp5iJFu5azRNwFJ7ll89MHmxEyQlYIF1SA
vSmNnqoOyBV6rIohIquAsPFaU5B3/DZ9qdOXAi/V2GJ4MEUqdGAgh/xBq4xVM8PBUblGW6O0lo+I
XW6aVvfUXltpwXitjtZtGs+4l1M2P8UgrjMVJ64PZJJEJ6g4omdaICrJXmSG8yaCqJoQSKrJtjxo
wq0iTRu8uw+i1O5mzbzR9fLBDJvrgMJ1l/3Ip/KlEknsSeGNGkrkEfdAGWNaJYHqhsQgBUp4havn
suiVa9nPXiVY73It2iJhFtjqNoLVb8xG8MQwvYnhwbeadFfzSQ1CjmwdKCpWqn0jdh5D8dBYpicp
zU7xgTKPlYurFvl+3qyKCgexqsrPQ1c88KdUb6QrNTUqjIg4JCoiHJwpH56avHFyU9iTIbGdBYNY
eowOPSizkPwGOywpq1nhlNidbqzltv+Ko/Jby5FxKo0tsBS3DDm6FW29wT2xFccMh41mkePcPwy1
+LWo4+tCkNa+OnqR33HvLBcNycZoNd5Ogz5cf0XbfV+SvdwL3U0aGRtz9I++Mm+xVO6oV16GBd7T
vCNqKp1ORExsGWB4b8yruLYu2NU/lkhRppqAVdmC3l7rV03dHPNGu+YAJNpAl246TVv1ZUHG8tzZ
uZZepFoAAqgSIfkGl/UyUc3Fw5S0e7nW1mWJ+6wdnJhiYTMsvaJ875f5XV1OO0ku9oKshkfBF/3v
wRSlN02johmUW2pXIvaiwekpEAhC/CMM9Lu4zXCewoqnNN8+qhqHAFqBcLBpUUg/9EzAGlw9JHW4
FWXpyHwLuXdxRw/NXpuX8NnUSCilSo+h1pSepSS3Wd3CwhqTdaJIJ7gmMccRwJxABjwqBBs/0Z1B
FkBsU7LsGwqGVKwdaZIBvZJXHeanMdAh6I+7MZ9+lELpClDtW+BeS7+UEQA2BdGl23WBW4dC7gjs
EJK2c6jnBytqGJteMH/g6POgSa3hjHmROLp5QWgj+3fU0uPsjVm+pyy6r1vtttA4Q9Zt6eR4VNuI
+nU4CLtcJmNOxPiA7bWWim0qtJezMDw2dfncmUu0eGPRJh0vexU4ZCay/L3b0p7+aGW/xzpQjnov
ZnrbIVLf1Q0VY6RlnYuZKInXdRflwhEeboRFqEiuhTD5RF24SOX+6qL/sQ1dDABAGjnt0aD6dRsa
CZlI800SjiOG8mE9dI9jwfFnlXHQ/Pjr/G7D+/5KZ6K9wifjYva5kkwOpzrZpUFpft4W+n3cfYsK
3fn4cr+9e4wmvDXoF9Dx/PrFZBPKpZ8WwakXvrXdvgqe8/T540v87huxW2azzGUUVAi/XgKUOF2t
qQxPhEXGw7qbJjclJCML1hFUNLn9JHXtN98IdCOHFoVXgrbt2Ymhz/VGnsQ2OqHsgLJdwXZel8kn
32lRdp69D79cZPn5u05u4wutpvtcBHSv3dYXsRWuPr5rn32N5efvrtC3c9vXFGtOdXmpkxyfFLe+
EX1ykUV++dHXOHs0ZYI0pM+a6DQKih1qjhWd0GExwT3SR9Wbo9w1n1zxd1+L6iT1Jyq/mq6gWnv/
tZLIzKI8lqKTUV1BUXJKol39139+67BH6+DFeA8k8+zW+Zoi6GZfxydcqW6mU/8pnCG9+/giv7t1
pOEgGVCgdyId+PWLFENoGFFEomZdPuaEinBSjJkMLP8m7vZqjwjYv/r4iss7df6w3l/x7GGFxEDV
pTTFJ3Ekrbz5SvH+k8ngTEOtiYQVSgaByLJFJYDxejb5NIUaJuEoZaf4ot4Sn+p0lxRoXe0qvNYc
omW9z/W5v3sh3n+rs0tCrszGtuzjU68TQo96XkbMJheb/8u9w9YuLkmM+rmBUJ+Rd7SZGJ/8ynJk
aW+a7Sf3brn7509HBadDGjTGOuP8xS4RUUkTdbyTwdF3MmV2m98iFZ9+HH/yXX53x95f6WyCo3Rb
1JKhxydJewnNK82/qeZPprffXwLF2gLwRtp59qpFtNdNdQ6SU54fNUDxYyTbcqd/stT9bgjxsv28
ytmjhx4StlPAVaLkORU2OM3dJcsl6ZykPQnJOtU+eUZ/+1qyqEL8oyXGUgRE4UyuClnSKDOjSE9t
v67qb4PuVvP1P3zRzi5BLe39/JaTKqwgeU9Pw5zbkoDsk57w/+USkKJBeGHXP7f5xuOYCSknrVOT
Pgvzlgb5Jxf426vMdwBhi0JYo/Ama8uC/m7pYeqEWUDUzIl9XtZpThhvl956br28fZF/lWyLhOy/
V2Uvnprm5Xe6b37rz5IspDZKBQhHZYXzMNKOd51b6Yuy/GsTPZqCulv+qyQrfaHRy3hlIkd1+sbc
/LMka33hbdH5i7RvUZ5CcfgHZVnG6C+zHZ1bTeKD8U9eFVFV35Ru716RvrNGAbXocJzQaBpu2Psx
mcyGNQGgjUI3lf19OycAyCaKHcm91EnwLpCrR+22nLFpj70+JxcN0b/EhIBBnF2oNnnBqplTbn4e
iYMkzbGs/dkFz0nhEIrwZgSfZL1aItlVN1PTkNXeRoaKGGGaZ2uVltS5qGIIi7S60imAAstKBjRM
M/wSTPddMEouteR6dlVDyvALm28s20Rad2JimmtillTtLpWEUEf6VW+Rp9MGynW13ZRCT6lAmbr4
dVDM0Qs4sYtuEMSExxKmh2AoGQFR+mb6PfJzfWUFBFJzsp56V0hrnYCZiKoki6stZuiSEK1q3/sF
EjHPGZnO4kRMglYF6lqbwld9EMA75uYr/WcUOBlwBaPkZ6UQL/EjXb0ejWLYh0HZ7M2l1RVElJFJ
zAxswLlIVw3MiDKAtXqVgYtEpiMQj7IEcUpTJG7MWqU77A/5k2QuqN+5CHZlLaQndUqpPY+StTbL
/CUxQFRRZMRvH/bquilaDrRNrtNMN2ByaF16SkRy1hH1EJ0KISerqoGKdUFf3VReQpLpNmhzeS36
VGG3r1YgSdGYIT37Du4y2OhzSjyOVZjrsK5fjQErfSnTuDYy2vGroQ5wmrSysS6KrNlx7gN+KoTx
JZ8Z+V2hF7sE0kbUxeKKzSaNOGOYrshv0daDVWRwOFBlFUNGEk+tUuvrYC7kc83HNJWHNE9kmlFx
YNe1KgJIQI9XGCn5SiU7t65Q4kWIVl0R7U4+ZjC0V0ZEn3iepEpyqLQlUDfk1JtFi8QQ6qu0C8bS
HSWjQwjTVK4/5slGSmsiqP04+2P9/3faXKxb/33avHypn19+/F3wsvzWn9PmIgDGD4O0DaTaH3Pj
OwGwrJqA22kjLVpeNht/Cl7w2FBAwBdjQZ2y2PP81cnSvwC2VAw0KgiEwbH/I7sMNLXzaRO4pc5B
m7mbo7Z6XqtQBJkScpUkR0lU23oHHLYUnYj0KeGrWSTGwGmlzianq+IKmHmy6uRsO9fZBpOY6Mfr
PC/oyFK5b817iuGlXUb9Lbzkei+OoOoefBKggbyiYZg47ztZ4x9J4oWmxTS1KWUtdSJk+UUyHUch
7TnmyU8+67/DMN2X4nzK9ZHh59f3owCYW6M835nj/SwOP/TSuC6Vgj8Au3wTjJrXk6OzURvritjp
174gSCmLsyX1UdTRJbbJnR9kJ9DpM4EgU+sko3Q0C/9qyCD66ovE8v+xdx7LcSNrFn6VeQF0wCaA
WRbKGxY9RW4QlEjBJ2zCPf18UI+mze17Y3rfu44uFUmJqMzfnPOdSMwhyzVv3wtO2SIb9qEwX210
awzmJ7XpUzbXJZ7RDT1Yuq+sIt/4jesBcAnFpqjjLyqru7UkrWgXkTq8miudrKZYLrBgi0N2EF28
h63J5LCuDBfxAFt/xD9avgdGXG0yO3V2rWHkJzRI0b3bueOL6HEwlYRmrXAFONfEM02SohLjZprY
V422eRtLdiiyhYooarfbNQnQ97gs0EH3Bd/aTD0i7OtuL02olAg8AIL1BnumMQvbY2o0SENJ8Dt5
VbNw4vwJaWtLKltytF1NGAc/YyG3NZeEtsnNjK9GbQGNBhji1ml6iXtAuiESwQ5eUowiYomt3+pO
QZygD99vnEqkQk32mZfqpW6zc6nr0bpwh13egX7GFHZpfO1C2hsPUpGsnSq/H2N5rMzm1dSyczok
JXDA4tGKYoIEwf/aVX1rRu6NLEbVIexxs1snnQgTRFlkoXJx4nS+UIzIlU74QFZhrLDQx7IMjA+q
WAiTIcPaUZjeppijb/NItRrqEAdAARfbEqHEyvFlzJbM+cbCjrBSW88CKoJ2bcXjRhnd2i2mp2js
Rsio0mG9AIiQ1DlrhVbrphNDsfZ0p9yjHkOUi+diTPiTyGhWMRNql7kTuGTCkHPHx9U42/1uihPs
sKN+4zp4zTIk41zUWXvU9e5EtFwfsLwygbK0Gpe1+SZGKKHhVD4Mi2/Fn8g5DmXrrmoucz9Z9FI6
lPvWdT+LMPpAQL1k2uVBl+LrTekHFexSngF2iLpyA9VOQIaMxeFVDv7W49HXDTtaS73pkJ+RRMgV
zx5tWCUpOvKjbLvy8Z+y+4cYwqBK/g/3x/vH518Bkpd3/bw/fgCSzSX7xeSaQJz4u7Jb/8WBQIRV
AWI8Jzsv/XZ/sB7xPUrvpSn7oZ/4WXZzfyxCSY4JrhgkQn/LQIJ74l/vDyxj2MVImF9Cr5b75Xdl
NxC9qTU7I2LRWGzdqQBy1S7P9tTcWF3+As57VYF8X8/JdHTJZdjJIrpwFux1w8AH0NfB4NPPWQN5
7W5+GgltX81+epGMYUAea3cywQzRlUQiYhp51n0m/mHi+xsbGYChKg4eDy+3ikCs9a8iZ+WVZhvH
JAEzieI34edrrR+i58ZU+l6G2SkqhjBwQ6dHg2CUW6WSm5JhOsQ981XlkPPqhNK8tWwKPlCDW0D5
3/uh/cTXKVjuc5d4ZUqke4PBIIvvxkgCRxqeNVZ5K19EfcBSgt5Bc46O0Jy1Ii+YkyWe+DyWXz0n
/Qa8lUOKnWIz8FdUTZtt2sq4xToB3TW6lNV8SrHc7NLG0ddtYnK6MWCTFgr5JF84pt0Y5Owdd1gv
e6Zuw7ewTUGSGiqBkOlRA8YOIng9fWTXeYshDbaY3gH1t3L3PBT+Q1sAVyuMu1YOzTbN7WKt+fMp
zv1j3I2nqoz1wIUwhLaiP0QG+MKoRLqFeYxEX+VoWy1pPUDs+vzUZqXc+2BdNwpeMmrJzjpSZaRb
Pxs/6E9gtfYx+hjJkd8WqbezBk/bVJF1FrVxqG2vQsEVhneTtpQRdedvkQ3oKz9HfA6jTQRSyfiu
FBryALSpibst0/ptwp+6ayPk+HkVL5mADKGryt66WNtw1NIWCRluO3D6G9eVJD9FxbeOJKXAcCmq
CU8pNrkcx/VYhG+5OxxExEA7gTG55otOa1JfoBHLca3P/SYJjW6zDPCPplnfZ6Ebr10To0c6ckaT
1Ozc6OQX7xtzKoJIzd+AFFurqlWgEDUSQtNM+oEKS5c9kAluYPIuaDL9tTeKz6bqiZL1jRsMEjKw
Oh5lqopxHfVJvq2iCeWFJh5kbL31Lul8CZ4VYhbcfN+1I1vjaHjQprA9hPH0jUUU3pcCPySyYqSW
qucx9t1bwhtG/DK5vdcK59VPza+oQnYuW7eNObYXrYBTFmmEStmDRAtUf518NCLu4LLplq0v7pDX
dvbRmLGU9ise3mQzNlOxsobPfIpfRlRM8PM8ILGAE9FFj9sJj9itOxSvg0QngayJnrbF1VU70zO7
wY4EAPR7gG+R8mAAAMY3BVlWUmsqdlg5zs2EyzlsuHYNVpynpqb7qT0MYJMjH+cyvDaiOquRpDVV
yu9JVz+YVnyQpncizOJuJt9wnuOdmRXHWAMJnLJ2JDsboVCuaAob+14vRb82+LrbemTqaoHUc+P6
ULqRuREZP7gf7dvBPtGhfhfEbbSIiDia7E0ZFtOx1KZ3E3HLqjYISqjHjltx6sURtPfWG6MxVARW
d92LjOq+3I5xZc9BrDXlgwUa8rkcx+F1DE3o1EJv+2ZvcVu/RVnpHLu2yqPbPMoj79DVmv0WkkcQ
XlI2nLvCz7q18sMXI7ahKY4mj0aIyy5cqlC7BAU3LJXpwHO3cZZqlafwVdkK2DhdOBLnfbxUtnCz
9f2QEEeJDe/Om+frKKmgZmjpGH+K2xw02pNaquWiSjieMmoORSkdNe5dQ/j5Xhuc7ZS01T6fsjxw
KcAtv/sopv65XipzPsU7j1J99jGt1RTvvp2cVAY4DpvIu7HQ5ks5kPpU3BuDQT3She2+zgnZlT/a
At0MJmpCig16Bsm4IjvI0oRObcl3HInxxjLZ1wKMOidZ+tX0Bk6D8etIurGspyVRHH61bfM5zJkw
QLZ71Mez7MFXZHsPnbKcd4lKdlrvXSPDSbb9lH4XVnyci+4QSpwqbp5sDLTKK8MDd5n3NZLiYngo
Zovc55DTrymKaCstIODTBBsjNRNs+Fj1JxINrV43gmKg8TZFfZ+kDuOfxj2HFKtlqycBcVMUZwi0
69i8sUFlIxfRtjAb2wAl2HMmytuyqG80Ecqg1MVL6vXfUpw4O3Q9p6EaQYWPHUqB+cWpQfJVyXVy
yiIwO3GswhCxcFptE8i3Veu96ZaX7Cy9JElXK0F5YzyQpCQFmOqQ27EYd9wH188spL32p+h9XH8z
h63ldae0YDqFwl7wB8dtI5qj3SF9Ugn766RxD75wOZ+R9mc9PGYteUDog5YGGQJjiaybzn2pPWeL
f1HHENqosuO46beFEX2mvr93hhLYM6+Glfe969OPqjVOhRnv/qknf9STS3v+7+vJx8/4vXj/13nE
8q6f9SQhSKQVmQ6bSKYRfxzjYsBhHmsue3HTXeKMftaTKGuBejC/YE5LOB0099/mEYxxSatzMcuY
7JhsRLd/Y4zLbu/P9STbeGa4fC+f5Jsfs+Tf15M4iC2dAGzv2jObbNepZT1Fjr5PpdSOKo9AZXCi
OtQWWNTUYRwmY1UWEPaN3j92DvqUChImw1D45lpZ71SKhU0aJLwRnbpJVfUtMkfDwEipRry7olTa
2tLUc0sfdj8ViAFEI8IzMgdxSEd3LWriMSrguxcHYR1iURO8n2t85ej6rtM276tB3jQm6+MAmG+2
SUZ1jwvizsXPf1dXRR5E2cCNnEscyx4aeoS0iM4VqpoJpuEKYuTGG7NtGiltbyAZ3KTLXNZTyYch
zVGt28XZ2UnkhYK5wSqqOMg7C+lmFkrjGpqIYkcl+X8sY/cuwH08LahXkxw9kqtjwfG5SmcE+KvG
8sjPsYYL/rlrWsZodMx91xRLgrX53sGuPomIeLWy6x34sWiryDLlXDr1mg6NSeD9Top62s0x6SKN
ajbw28l3iEW40T3tqZrbB79p9lWsewennm/JdJ/WYNxfrNr9VjblTc25gyAnPrKxvHW68DHqFzfU
0Kz7zP/eVPZBV/7FabGWmq0mAkPa7g6q95d0yI9CJq9j2rXB5Gvfx8hbVFT+Nsn7N4ctUCXd+mDY
cRKkskPQBWl1xYwXw0EcxeckQf2Wgfp/M2V5603pc6YzzB8Kmv5cOuOG4CsGXSV86Lltmbi0r54Y
gxL37yYjJGE1RUmMLqB+Li0/2xZ6jhHFE9S0+vhIlHJAhnJvMTXTOwa6Rh+IHBdRZKvbqsWhq7tD
ukEcxuSi+0Jk0gdeY3sbWsZHFWbpNh7j7ihDcxXi6NhG0u23YrTCgGwChFw8ruwCsEjqoV00q8Qg
ZKOyrQOqR3+HED3l2C75ICAanVIBnLn9alXLVcMEeWOkLRM70X6nGkNRrFOk8tmvgkpm+RaL5SI2
x3nS+CDEaS5WiDJzUrfjeR0a+N/zDk04CAkk5P469sar1Yd705G38SivIvMOmpZslXkoinU4XHy+
Jmk2D1U9UOZN7m1WiBfXL6645/CCW+m0DlNwVuCICS/5bGX3BYC4vi7HDkB3WmGCdv0mKP3OJ3NE
bsusupim2rVa8dRG6pDV0bkrcEwbJqxdc7o1836PgZu7fsD91oyIS3MTj5Sev8ZtcuOIirkewsdD
Wrtn0y9uko48cM1CMN5OZlBmGasGAWc9ig1UBAzVDipNzqZKzkZRvebkDFKltmoljPAJC98LvdrV
LDJ7F5Nmth5TQwRQpEl8kYsIN2LFoaluF9kFFZaYxwAf7P0gwpc55OerK4UFPCGzpuN9WAOQs6FN
rdLsEM7NZy0te2POOQ4139wT5kXdOIHd9PlnRfQXv5ihddcNGAisRE2MIlsbnjamq6zWv2OVONkJ
dVEcu4wTF7U0aBO9SF5nYT2GtN3ksAAgr+FP475CCOz5r3DY6HoteWdqgA+MGdWxr3bdzESyll6I
6b6/a2K1C6X52MftRSf4Y+VW3jFpYgj4bnGXE7g+uol2jNGyJE4n13o3HsXkbfpo2VyMDHLJ4c0D
IYdsk9tjuZ71+DLLASUskVxrrcm/R3P4WNMSribDJPYmiavdGKcfTeVco9JgiOcN85qAJjNg7aWf
BhLg9x2NI11KtJprWEuWNWxwdyNI8qOH0Uo2ytT2BEWeSBDqt3bVHB0PgbSkoQjqmigNaxBIh0Xp
bCnpvxSNTrOov9fMV8k/IzzBG/oboYon0+nPMzmWKzxDG7u3t4vJoS+9E56OfYp7eE/GdIYLShDM
Y+u7yTW+YXu/OBFn9uhbG5Fiyjaazy5NLt1Yv8Pk37hEZ6zaSQWoeF4xIa7DDEn0OIT4q3W0q5ym
UYeemIcAXwUnd7VyCd5YOxm5buPkPlYqucy285l1HJSJJXA05O6eDzcjXXKRDGvAIdL618afo51p
D885z+3KyyEXuAP7n95kdItpqwEfvxLuXO7oZ965Oxs8cbGCAz2VG92yxNUjQXOnMfzZNW3zJcmM
B0cqJuCz/2S43WtKHseq4VwgL5BHI3cBRoejsZ1N76sFxXnXUFny831tUmxk0is/2pCwAD8laIe2
dr6RWeqslwqZO+8y2Lw2ANXpfKLkUJoFVqWVG79QH6Eghk536w9G6dc09VtcGGEGfiK8GJVQTJwn
UMCl368ZytrEIylsGB0nWOgBGXKRggLilivw2ttSRfvJIWLP5ZzUqJsHTT5MJS1joqVvIEe+OYMb
WIv3IQyZ4i9uCIIGH4zFH0Ev6h7RMR+qDrMPhzjK9cVPkRjzRKlttFefCJcIRTkU6DLwiuE6EnaD
oSU665jpAx+rhqdhVGU++zqgXd5oNXaKCGNHtjg8KuK09MXz0WD+4DRvsYLYfbyLE9uB9KFi76AD
OalvypzlCi1aokcRiUF1P290w6/jXxmZ/+z1FrjVv6+jya/7rxUgvPfm4y+dasu7f9bThv2LYaH4
R3DAiu+HLOHnfs9wf6GQZsGnL/UxZvf/q6cth1cIHYeqzTD2jzg86xePOeoyU/1fRtffqadRe/2p
nhb41S1YfdTUS4apvrz+u/msPzpahYctvtEyz1w7PeoAb56sg+hRg/WNxTSnq7umYQOmuS7V6kxO
QTjUbfo0pVm68WfMJDeyMe215JgedY4Mvb8bB4+QB0VqXxPzqatn7BRj3qcm9xe2Pjpmi5EDOV2u
Uc8Hmocmancdnsz4wesYmjTUfywcNJc56BzN6WNR5v2TzebODPJMx4dkIMtkd5XG26rKN3PZ5S0E
rQRrCSS+Z2mg6CfypOufq4LMCTzLFR9Cm/IrD7S2lgHGdO/WyvoK2kudvmpO5exJZiFDGcJLeKU2
jrwVQBMO07bGSlKEc4HDPRFh4JfmQUZ6ERRWqi665hY3rpD9PX1GTE+bmTaeU9nvlRY6BF/UHnVl
Mc58vP1yxt+gBNoOL3HcIEVifw8nhdt87opkz0hg/laYmrWOI3tqZTDptUN6jPKdlEBX21JZefB6
q9s5Db8QzvdR61+7pDEMsrTRC9gpdjC5Qdy7pGzPv2Zuo3hBbrL3I48/NlVNtHP1bsap0IMj9GV7
5wNDZNIL1XGVt3b8WCxBHVZbDbcAgpR7K7WoRzvS6kwUoh/sw9hcOIjegkTM8tZ8HH2VY8sVCvXE
IPUk3+uWxB9DDnKYHrjj0hFjPga2TzF40adPpNKOpWK4zZMYDU3iE2nQakwwC61x10Rut18ABFTN
tdbIbhJz96tg7J+Ta5EC/PuT6/LeJH+l4+JNPw8scyFwAAeEwOcsanRe+nlgmQwATKLd8bXCTECR
+NuB5f1iESZmIdRCX8xR9rsBAKccXkO8URwzSwqU8XcOLEy+fzqw+MGQPAjE/8tPwRf844GF7dYR
QtPnK9GTzzU9SJBPk1wSdYjAnIutVwscLOXBmbSABMDnomQaqytqy8IXj6lnX6yyOxRpuql7L2zX
rlvAHUjioXrKS58celO/izSJmJhRqL+WpMd9NTF7I6syrD4+kYRSjKQ76sTf5oRAEkeYbAqVqjsd
U+uaQK2HIRNz4PXT1Xfot4nvWFfxnDENLh+nSXsuHflksRRZ6dTzgd6wYdCma5x4R1b+LODbb81s
rajnBqS4WPpS85bB4LPZtzDROmZrYZdd+qrJ2BzI71ODJYGP4za0ARGYDamSjjleu8Z4r3PWBQ7J
IeupjD9IsZvXnU6QoD96m0jHZMQux9hmrnBp6zV7OgxjqQUgD06Gcq8MEQJlxKeZHTDIVBdkQ0y4
utmfmr56iXX/VbNdLLe5dZdBPeuc4jlLCEVv0vmpawjLU0Z1Y4Q0zlX53dSNNeGd975adlJWca6i
4mAU03PWqpNW9t/1hqWUrk2E/ViWohGi+NS0rFtZebavW62i6BJ0TKW5Dk3sVk4Ve1cTuRripjqj
A8LDGZcwx3yQX2VKQ1wgUdsQdzQHktiSAM3wNwIgjxIL3Y7LRUcvYeA+M5lZWnulmmuYN+xZECtf
4rqpUY8Kivwdq3VWik5eHCw8fW3rUKkjZbBKOo5Y0j9gxcqIJ81yNO62YvUjx/dIkODJ1wxK5jl0
sHCqY3zWsaW9602UBgTrMF3NrMCAs4LgxbvAt8E8rbdqa6pYnPPBglYkmwfUIPaN2RVwE8yop8Hy
0/XcqH3cc6G0IrcZRLtrj33dTmpJRwBcLW5U4jFWtQ8EXj0jPdrrynwe+s4IyEfT111rGjfgItJz
hXVqFflgYGMHAUnYp1jCRjh0lq2Fuwlv0U01WuZdYi4bqqzf+TbRREN0LLIWJUxtvmNpcSB0TMkV
ffkQoHvZTl6xVR0+VKR7OeAp+XXCnGr2yZcy0jjpu2wTxfw+03zKr4j6V8lY/Drf/Tb+d/TJnDvH
QC7/s8EKCdSCC6Z2WrjCf1o6VxawwlzzjWtegPL6wIA3FIffnZv/v2+BaJ4STOeM1AEa//EYmih1
2jQhjJGBispup+pR+v9U179Copagj/98R1Vl+/6vc+rlfT+vKXQPlg7wiSk1txU6t99dU/ovFjPo
X68vvBO/3VLuLyhbDAPUAyNujCM8Fz9lDy5CZIsrDROWzbQAncLfGFOjxfvzLUXBb6PBw2uDMYUn
5I+PR0oYq+nOZnwtdKgol9jsnLfR0GnQnEbKiLpqcI6zqsWbiO2h2fuaBAU0jNgQ8XS3z35slw++
nzgzTlA1lFtLut1LaylyRCkp3Y2IGWHaifY8mhw+YzTbJHGaWWCO4tbz5I60zqvqxSODlndCet7N
OLT5pN2L1is2odB3Zl4kHKBs7o1MbMY+XCutOcYCIrOgIQ2ipm+DSJ/es5rM1BoGDOl9UbtC+mUT
MI9mCNL2Npc9SXDSJdBMkYgW0Sj0Q7ivCnGP5fm+SISxziz3YwpJwvIaAgp77iVZP1SW+RZ78HFK
wAtbKVMi9cwZMF7iF0HZk7GKGPE+Fe6599ovTNW2mZD5uWjKk4ozFsah6a3t1jVgW0YghIbKI+w1
u+/r6qm25+piNT12YMm6jmZ5ZDc3kV1tL/CfHM5SZ40xVuUoP0uUt7NbfQFy3RO5pRPhpjefc9tM
eFvHfOO1ak8UyA6Ewt5gz1q5bsoq0w9sGyghMpotSywASSn/BlC1hyACVrFPJP9l9yOOX798lgx1
WajdeXa89qr8m5HFj6LsYgLfUvscOuEB3MRdUjEH7R3iJwGFkXysxDlasL1lTiazEI92U6C1cNwP
UcoTPdp9NXmE4egeu0vp4t/uy3RVRuNJwhzp9AFKVCl3eUJWH7sJVI0G1NBaPqeizdcCE8aWnetG
VN2DdMQQaANVAMP5rV27/Y1a5BxEhEAcaexDl4ni2Succd1kiohf7jKHnlFivl/Vmo4yZVJPzZR+
DfvB2Yu4YRVi61u38V7Q0X1xwygwKUjyAq3YuPwYen+vTd62DudrniVs9c2tH97ysJY3dq/OuZ/d
zpN4SwQKAkmg+LYZE2QILLqhj0+nTvDYGU56Ls2Sy2+Rzmnei+aipemcIQmMdAwDrUm22ZDdOFVx
tfzmhFz2tm9RMzA8ItjctbeaVb/ZYDpix3wqupz+pYTO0IvrlAyQRwSliR9uo76meAzbR5AfX4U2
XhqhPjHPP8IFPGBrOqd9Zhz02IXQnDN8ckp+DwxPP3IDHIk5oyD3xhzikBRX/vIoTof4S92AfDP0
4mqGxm3NtVn72VdNCwOv9PWVGwMmKqzitlOlx3KWsrPo5EssfIKdp9wk8UTmJy1XFRNmhJ0hi7vA
LYp3JOnZppvyO6MNv7BlmAKcGVgMfHvve/M5l91FGYyllP06iOKdahKMAN90MO/SKiHK0D/EVXdt
c31nW/beqvIM73x+UdT2K2l7cjtlcm2bGZBS1mSTExNujjg0WWSi7Q/F6LiIR6dZ9mQKIyj1F2kp
7NcXtYhNox+603qRoNa5TjzdIkuNFoFqtUhVRzSrAFSMm3iRsfI7d65ykbY6i8gVtcX4Mi/CV9rd
/JQuYtiOf4LNsAhkjUUqW/1QzUY/FLT9IqbtfuhqzUViOy1iWy1FdvvjdvqnlTT/4xDsUsryL67o
34++6PwgIeHKMhdU9TIV+9lJcnuzxcXXwx0s9B9TsZ/SxAVgTS/pQnbyXBpKFsC/3dHAnlg9oExE
975gr//OHe3/SyfpUQcICmsU7u6y0f7jHd3OlPrKUUSwW3I+14jpK5AcXlzba22MelqZOVToSzTG
Ovna60K3hDJUIKJRSfqDqqLnFzaxegFDI+J7RER8TpoNI0Mhbt5E7E1hE82Dwy5n6KCNvAwKSRVL
jshGUZi5ml8dWruBhOv3jhjvVOoiM4m1Mtq6TqMFapQvNDvkjaMh65Zbtm37blX3es9sF9iZirR2
Gyr9MZXmpZEi30CFx12k31OSI5EyFgotm46qLE6yDs/GMD5PLZw67Dghn5Zip6oDpzJIjagyV4lI
kyBzmYHlo4tyyaPzUeEMqG6cX0iQhWSMnDtnGaOplgxa0HXgi12Sbwvv2IB0MBfRc6L6Lx1oH7KN
81OR6M6aHvy2LeW0HUQvAqF8FYR93QWWO4/rrAOhoUMv3Ex4jIDgmRvdUdMaAi3iT6//0OzxhAqI
bhRIE3M442McqzKA5L9N9XqfOEBSCiM/p55ZBYAGn5XDQiuthzPJ0CroE5TMM9G4GjdS7SrSe7Iw
KDSkqGETVgcMxNFqtMub1CzvMQQFoVudEjr4eET433NfGG4NMjn/aoM1ZqHRrzsL7FWeQfa3GTJU
0dEOi01TeahiQlp34FUpZUaZbb3JRQ9pdZdC4w6DBJ6ekcztjCh6UdQ8WOR9lDgTWe2aiG5HtyFt
3ieqtu6OvepTVFLNS1QuOwbC1KbJeOiicSMYpK7SkawOmd5Hsj8njrXOyD1nWzknqL6mfFXRwO2b
LIwDffRvUZu7G6+2PsvcaPcG1TcDjPLGMWS3iy1uWCt7Yt78XKT1qqzqqwZiN6BgMZHF+Wng5SnT
weJ5cL31YrhSuvWqV+Q/u5zA/ZA/jJnDQLSeVmLB+cQevvyJ9DQedDM+VRXoHMufcZwNw4t0TaoF
s3sZw+HZsNtHu6WbxuG2k7F/TVsn0FJoUk6HcAuIDBrUIVBuVq3rzFiXHrooq1MPYco8pWTWCTIm
OkStHe3rrr5XYn4FRvRWO5R4YwJZ1Wf5AQzTNgJbV099wjjZyOxkXYr4qGnlUXf9d0lhCgO8Ji2z
NB5AAGyTxn6sWn2nWeXtoCcDbmLrgRm+t/Zind5/1G6i2L4kbqUFBL1sxyQHTebKHQTQ9yKaxz2s
0L3qG6LJYs8PpMaliRukJJFYvqaSSnNCyMinbPZOvj4hlzXgmehzc04EAoIBzVpo0tt7Pj+w0IZt
3k5Xw7BBDwFELZv6hjIU0ncYHxn45BthjJ9Z4t+nNuIQYTEqNvIROeg8fR96qsa+h6cPt94OMGlS
KLedsUPaWoI5UQ8ipJ4WeIogYmpoeKtkAntUOoFdxvssGt9F3JGlJKTcjMKnFKgvhmazXxwZd434
/ZpFAumghZzRRDZoI6My2U9z+Sp/iCZRT7qLjLJCT6kvwkqPoTVoflqE0bQPEXZBUm85SgwzvRgo
MyfWbRNKTdenKmnCU5GnhxglZxjX37tF2okw+Tyh9RRa9Vgt4k9roozQF0Gov0hDm0Ukir5j4y6y
0RT9qFyEpOgA+MwyuXAWkemwyE2Tfnj2FwGqKjU+04soFe7o67jIVEf0qtkiXMV/VzI0M9ESTyza
h89hEbnC7CUXc7JPsShex4l/UcMHIjR05ibsy+cfvEqrZW7HLjaOUINOGdq42YJU1JYgqO23udG/
9wYPA5XhY9XwCxtsw1o7eUeGTiTrbV24tz1ydaiVBrJH1uJ53t8A5Lrnrwq/L77O8EG3jl17tB0a
sQRIuJFisT7w9IMqMyhhLFoP9uA8mFX4JXb9edfkyWcxgDEK7YEiGtf3vs36JzLB5wDwyUwX2vTQ
nv6pkn5I7hbH3L8fZty8V381yOA9PwcZzNt1QSaW7YLksKF//FYl8RJEEDaEuP//dxT/W5XE3INZ
vAsfYply8a6fVZL3C/kfPq9Yi69wyQ35O1XSkkDyO0oEvmmcIhinF58hhRdjtT9WSU3dFrbTm/O1
qsjaMEwW6I2PkahypicjrXfhYrkiQYBFvfqqq5CebWTgPtqn1glzjm3tySc7XnemizMDanLA1hFw
03HiJleBlH0KvVs9jwzW5Mrc1CDRstG/DJZzLoty50X+XqXmNdUZO3hYsIMmQhXWieFBOKXa0sF8
akLiKvYRePR2dHEXNYCGX3fl1c5mYvKytKg7gs0P+rK8r0zv2a2s29bMr44PHEs1khRwq89R2U67
cET4Ojn+XZ5GD9GQBdLh3J8cxi1RXupYuuzPoYzSyzyr6l12fJ/J6Xez1kSBhc0ES9y+0DJ9i3e7
WZPkE286P9E7SHbVUelRtjHRBDJLcf11FtdBkjtbv86/RipZL7lHtPHtDr4vtKrSTnfjzCnk6vGC
ad4zOgIG3KHGItO+sXPjYE7lCUFkcjQwlIRy8gNvQeWHGVaOrOTUGsRDbSSCqWzTBRpyZ+a9jX0l
o/UgB842xBr08q2TH3CAEsNuwauUXdB24VsbeY+pBlkt0ay9PYWfGOsB8wMc83wBOZ/wCLAnzFY0
296XcUiOZFboj5PH4eGOzqGQmCTsqLqnW9vDu3SD2AFfGLFPDcqkDeFA9Do9MCtDwra3iaSynuNk
AgLNpeJE2bfGkKDZahRznTab935teBDeMqbVCJixFsVrDffmth8WnHq+kNUz9NEHsdDWI4+w80Hz
skMFin1cmOy9bVsrYbrpriudvN43hLGTVYPn5GiI+CPSSgDNYeYf5wqlIGboQ1NHj62OR1/vzL2t
VV1ADs2mjZWz6ZHmeL0sT9JrloyW7yVJBCt7HnC29l+qduIinpNnZdY4jSzfCvqw+sL4QUdaMp+V
HM9FodtB46W4EjxsQSXA7MG5UI3wkdCeu8HQA3tYMltwDorIvroYL5UH5DKhLoU8Wq6wXu5oGc65
gASr+93bXIXXXs+e/BEJVsFcKTJrSjTU6Kya62TTpGW7TWL57uvZJSY7YsyjePM/7J3HcuxGtGz/
5c6hgDeDO+lGOzab3k8QtPCuYArA179VlI7clfRCc40UcURKPOxu1K7cmSv1IDhVRbDvHaji0tM+
0ii9J8nQrmMtpu/T1D+stHkYcz/UlHFL+KbxOgpnoxnaMwxrXDK9f7ImTjIDT9q1m9svxNKPneF9
eEt3nJ3mYjEYC9KF2oXauZzq2jxVooRE3xabxnOPFv0fQrCU0czkZoz1YZWn84vp3eXaxp79Y5PC
AMfUtoqSVIAA1+7SEe2vz4tr0Lgak5t4bjRqK9whYtxarhIMZGvX6kNLkmZKs42muftFcXLZ/QDM
FDDemFuoIAlOYLwBZuaXKbDoweZVNyHgjR4E87xcXgJ37Ld9Kdauv2cZn5EQymLMRe35IJdD0KRv
wFFJ5BsGSpQMSDhnt33hvAXY4MJhgphQtd5DrBHiMcqID3GdYEdIegLBPAsB0xfTrqvMufyZKvaf
LqGM539/4t6mn8BQ/68yob7r1zNXtW5hyyEB6ZhURrCt/qFM4H/XHfqucIETOFf9WT9M7hZOds9l
PGaPrZR9kvW/nrksI9iI48px1Fmplub/4sxF6fjzmcsGQq3gWR/Asmat/sczd8Fflph1ql/SQ0H4
uFwoVjRe6vhDD3j+KbSuW52nPnfxVAbmuWz4c2F6l65RXQ5tA/o4viFy9dJ1yxpFgvdXnjxV0CVb
lcmp/FODKEfg8JkiDgwzxL0WLz/2jtcBGSXJZcYDpUzVHYcubIlAL/BFEmuGTvwcZWnoOubRmbMN
xUivSwKoPlueTFtr13CxzhKn2gRT5q3zJd13Q0sOplqejNjby4R51AaUNHnJc0aZy+LX50HWPjED
oYY45pcmq8dWDA+5wbrdHpwt0e/t4i1XaZB7aNfNrgmygUQoj960d1e4CHH3RvLQc5nKEZSREmFg
t9pWdCMpnNJ/aKVJjUM/ewe0agPEmX3M9ILyBKntkcDtlUEXGU6deVfb08FEm5aNeyMbbPp85u8L
Z34tGpqP3NY/ixP9US+do698MI0+neK8gbYce9rGyap9P2rZehpgqdndwQ0wj7eRczYbH11VvcTR
cD/7Drlqm+Fp8eVLrtOtVLQWfnv70/Kake2pcf/tipK6Pa41m5AisN0VHWzuRp9mLKXzzofH34zp
+dDxO4vjwg7lHGecUDleJ3HRT72RbCIvq1lcp850BO1NB4Ld6P2h9sma94p4wxQH/KatdeFtzJRI
5KbrrD54JdMkD1lPOjZ0c3iqq8mSs02zYS24+LO8iJO2XTd2cCqHlj632nqvEtGutIieC3bGCWBy
FvSW1EO5dO9uNNjrIG+/lGWDbo4snCvEXE+17MROfuMtSPme5V1oCZG13mz4b3DfrbXkqZjs58qf
4JlO420z5Mk60NCn7db5yJruy5ynz6UX82r0ioeYIVr1huBA5gqVd+ZRsArfUG1lbRhdr9iQxQgQ
+d5OxLOfO/3WInu5cSL/ee7xFDe2m+Fakx+db8pVVXArmksiyRU51rWeBeSRYy78zwW21BgDwZR9
2FMXOiXvlypeO/ly5G68y+rmGsBAsgGsc98QP2abEO8KPLCejWwfE9qKCHzsHP7EN+RjvLTXSOvr
2YZTLbvnynE43mYNxqvnLWnIf2rC1ZojDbHWcN0CP0RCjldM7E8krzgk3ZthruNDnuDScKuLha4P
JDl82jCFC3vEuNzOuXj/7yb3fZNTpqW/P1du0vFTdOkHxLA/Fxipb/xxtOD3tHlsA27R0ZbV8vnH
yYLd0/W4zdlewP8O4ea3k4XKAkJSrLK5ZRHJJ3P/68li/QTWjLQTd0RC9Pa/i099Ix5/Q/5xGQRm
arqceoHr4qP5M2k0MSugx4OFVly3nAXnWgFoGcu1rXelHgZ2ll8Gg2nlIakdOhRT1ZdnoDt6NI2x
i4EfXlwOdauRjZm0g+NU1mnguRtKs6uOJRH/W0oD5eUw2c15lfb1ex/38swsZX5rG5IVXJ0F1bqf
vM+I586+tv1oaxBkh+FCmcFLouMEhReFTCNkgxRa7HLTkOFCCueNpSMlOVa63Jidmw6QoQmFV7NR
EAHgWGzcNpzMzFyBXSrXaQL2oyyH6M7EC3kzfDtL9czJsZkW355TZnz8p4SelBnVoCMZa6rNXhKj
6vizbXX+9rDidiPnIAxfcllSNleMlTheXZe249JJ2+xey5Qnth1z/LET6U6xkkL5Zh1loUVAsg62
stUuMBpCDyejQjn7fYNdrXKSUB9F4BzHxhKvnK0uXJlkVqq63oHfb0d3Xs9pZVm4cbrsMCdwgsKa
LNpidKO3N0cHVdTL3vusSM4aF3T1yaEX4uC3fjreLBnXhVk41WKtE96Y8lQGxVxp/8UpfzGq/COe
41K8VvFfPA4g1f32OPB+QrIz+cB7vm18M5x+fR4g1AC9Mx0+kA55y99NmtZPwIddUie8+35mcPzu
ecBjwlWuF8NS/sx/VbVsqB3cH9Qd5lz1vOGJhOAI74Mn2e/t362LSUvSlAxkh7nBWoqc2iii5Edt
avVj5XVEpTV9Hl7sLDlLo/nZj42FwGP2bqm3Hi4W6bHvL8px01o6dahNC1UsS7khsTWrH3CR8A6m
qYV3c6Xe2ADheI9L9Xa3iyj97Ac9oj5KfRIcuGR49WAVRROxN5Zs7QZXtxlw5tnE8UVGVQELlYB7
L9p2RMKNW2JDCCqjLB0wk/jS/HjCOYmg7KTRiC0y+Ih8g72EWltoFioDNREx8RpIbYkAwz4Yl81S
I1Xp6Dny2rCW82SkqtXSzu26OBhxcpjSiESpK8iMILKs624cyB/ayTlzw05vtKuM9sKbJvKPfZNk
azf2aYgMOjLVXS3Wpka0aXYZtwQwvNBrh8up7y61fPKZHCG5zTa07LqWGwJiLgOh2+ONS61ZfOVW
f5sW+i1HQ+msx6KvrrQ2X06WzYqAKT9u3OQJEsja6/111EUlwHI8DFZNsVeHydBsvHhj1j4T/BAG
s1Xeaq4jt43P7O+1dBAIbuDsIoJ9Qy0NAKNpFS2eG5pGlVyOMTaetMGWY7Fn6yetvnEl5CCMIiw5
xcoKhmrVmKh2qXYCALHl6QyVaGjs+y4wIPzTRirmggLGAs9H0ZRMxgtJ08Zrnp1oQMIzNGQxolNx
t+5mmqt/dzj///15eK8wMLOzQoqC+IiE+sc3dqYnUs8DWs1MPWm2VH2br8nM70niX/gFgP7fTVst
3/9+IrrFAfBXcXL1XT/GoX92kzs8fHwGkR+j0u/UbTwDPg9Bg2EKafy3echnVIIl5GEMNdX26189
/+zv59tvA5Gi5Nt0NNmmj06Omm7+yQOQV03R5HpGLYrliGTr+Au5Mssd3kUGz83OmcCVZqNFqDeZ
ETxEPfDKSCk7juO99WVxCwIiWOEPDWlTQgVCDho0/dAhD+VKJxJKMSKARf8oMhK1CS9AuQCoKYkJ
/OSBQrm1taSXVq8dSrQocCIrQ4lTg5KpRrZoK6/z9xUK1iIphkPR6qVbr2s0rlyJXUUqb0yrfw6U
DIZp/HrONYMlnnanKakMTy+6LOpZHLnHInsqkNWk0tcyJ7vplOKGwo8w5RxLpcVlS7WblTqnNzaW
dPQ6WF/HBQFvrIaj30UfTSCPqem+mErps5XmF1cR6TxUwNjUniWyIPco41XMNfssJEOsdA8pEiIM
ToTCxmqJPxf3EzLjoPRGHNJ7ZYCelRKJiWcdIU2mS/PaKa1yjHCHSaVfJkrJrJA0I6VtCr+8nxE7
u0G+lEr9zJFBJ7/d9d+6aEnEdmT28ZFMuYRf5kpDdRBTB6WqzkuACS7Y0vx6ksTndKW/dgixlVJk
R6RZH4lWKq0WT9xTmlBhMyodF4/WQ6uU3TzvnxykXqmmvV6Jv4jAZBliem3jC8ybSVghFBMOZpmP
dNxF3AA7xGQTUVlX6rLv0eYrXdxLnJMfVezdxtG8G1ShXEmzHD53wByW9skkre52WzfrH/mzfaVK
6ezR9wkqpN0qyXqY8aq6jg4797xWhXaBV4Yu26IwUWV3Hq13CDX7zBM7dySR36tiPL7wZAztpqkH
Aug5ZvuRFj2DNj1m5Gd7NnaBqtlDOj92qnivr2sCXnTxDaqUD07f1lY1fUQfN3OChxQbrI/iI1CW
VKmfqvejP3xn0veXY24rggEcCKFSO5dnmaoGTMR8IegK1OkM7BenJymkKs6GuBaPSdWrAJSqQMPq
6N2YtPYQbPZVS5qOdHXD+c1FGvci6x99m0O/ZZ8SfbGr/owcGPMJ2MdKJ4zpVdND54q3Ph/aVVPX
114c7OjauDag+PsYGtcACLCekcSyvDHktBVb3+kvDKuw+cs1m9bzNPb92b7uJxp0WJlCn/Iw5Y4d
EhD9wX09kWGdX+EFhu00vdA5jJ4+3/NCU+iYaYc51c6rloxmrh3wgq5ctQLJijDAoJGV8zb3KX2Y
fHgP9nJmNf2j0QoMiTNZjnLajiXdSlaanXspKYc+N1WV+k6ysyHpzgvy0HNyztMA9hKtpBzY1UCB
yCsvnMsuTNLgiaRLvupEcj6S8wuXNg22U+mSsMhBc7U6FLbgHZ4RHwJuGpOnIJNBaDXzyabdnosM
tSymLo6mlLy2DhCCYT90ApDVeJlNdJhl9p2exujYszhfco9SSQRAG2YT1zIwP7B5t0au3zpD9Nli
PMXpVB56omjrzhv3yILE4FuSd3gdI30ZKXdOCaw6/or7yzqxh5P0qiNwTxZPBN3t2H8uiIf0aPED
C0Ex67vAG65Sd3zUzeYQUfXD7czb5FnB82+qYKu59Y01YKpJF3Fp68hpcbYveABCIr2I3OWuVUKd
2V9H5nCGO2HltiigEyrZsphb1xUbSzMONWNfiIVp4SlsbQOnP+rVsvUrdLpg1gjv629F1Jkrms9e
gDYBW0J3xhwaXxkVtsQ4viZAfx7487heFqgI7iLPdBe+Ja0M67yJuUtqaXCwYmfYBcl0ZRUadiEY
BoH/ZZnLtiqbsHP7TUcb7JYS9IrVVn85981V7/n3Uzok69JxhvVUOgHzt1k85bQyhXEzfmUkbJJJ
J+Zdoe3V50nQISCRxRkYAc1UfDnxvBlUWCeZpm1Leic3qOJzgGDzBN50lXMttIi9oUr8uOJxaqej
VFGgbiiJQuO7RnI8mqSFkolMPukhu+95jJMnorqAVZURtbMNnqTLH8aCcTg0tAon5kIAySeJVOjp
wXTUElAFlCaSSvZ3ZGkEANBhGg4AURkq1sS4EIcxSadJRZ4iq/3y+pGiOtJQULV5XM4TAak6faxJ
TBHYurFVhGqsKagnU4XoT/opOMMmetm502FR4SvhoXJU5LEmcllAlO6KFEEQonfYFKDJ/FlejirM
ZS/+7aLiXYUKegkV+XJU+Mv+joF9J8LK73TY7+apvxhilZfgD9cz6qaBnugmZkm4NkCh/zjFEjw1
7Jmw5KVxW66eQNhetWsYrOvg9e6mO9Vn6aZe9/v0HIJ0mOzrbULX7x7o6s/D9H8Drtqs/P2Ae1UM
5Wv3F3of3/XrgMsqiUJRIpMK0Yy09pvgxyqJ4ZK1uU6oxPzORP4y4CpeEv8K9L3nWL/IAhzIffK/
/8OWCY4nLE/HVKlxi5f8X6ySLE/dc34bcLFvKPQFCgMxKJiP6Od/fAfZSVxVPAmMSwdnUr4nVmfC
y2vzU4b0bC/dtZ8sj1weVybwj52Mg0ctTTpEKFxSyNdBBHEkRdAWXG43Vi2u3bEmBqZThAs+DAnc
QgpfBjpytecadTyKt3QhXhpKNmfJ769dZw5Cz1gmlHlXchNfPgqbwhSst/mKusZnePikLCwNqIXs
n5e63MtvwR7lPlUSfqvEfD4dx0XJ+6iaJ5v73mpA+a+0gcSw0D9TdgJyMT98tSSo1bpAmNNtqRYI
OZsEOWuPYmFLMC1tmPmuTwlhcFG583zU7PwGEUQVL7KamNhRcKnkC+E3cU1lGmSPIUaDlQmLDYhu
rOPUsqNUaw9Mpe96/uTMV0nnwl8GjO2Q5XFVtVLk9SKU3+sT53uVAtGC2b2xZnkQ38sW43vxkk7A
sskRsuBQBHYsye2GyClHnA2fHW1ErtBuYLabkDt1xXG3zFEQZ1R091lx3vH/EzJdCnE9Kgo8AUtG
HY81vamAUJ2ixSeKG18qgnzZuk/1AlNeMmpubGH7K442IgMD7PlJUegjxaNnGzJf89606UiEVp+B
rU8Uvz5QJPsIA+UpUnR7GQzdWUIP225S7PsKiGIXtoqIrzF77ox8+DIVLb9N2mHdKoK+AUp/7Hn5
uNy1G2yJuIRbxIBUsfdZ/nwGGjT+oZVyUylCvwDVz2ENYdHJiiumwHxjfBP9tTndBESRdrbi/edj
5+xwbn+WzBs7DLBMHqofAHpJfMZvblllqj3Arz1WVDONApFO0U2n4/mrVN+A9V09YHggekrVR9DM
DGU1qZRVpyoPel8TR8lZfYwlXQZBQhmYmkl3Dd7lDS8eUJHO+UpJqlGEmnxhj7R2ygtOeYJqS8iC
JuHK4ttvMHfyFQ2+3IQUxysuaVpoG3ukCl7VL2SqiSEDovLGZy4+E1gv9pJJrd8k3/UNk0WTA15x
kX0VmKr3BPrN69og+mz6Xnfso4VRzWrStYA8VWhGDOcVGFXF9mtbw6citxSv9SWidzeQNUYWkszQ
rLS4fSwU3ipSoKukXGgOVvCrTAeD5cHDMuBiZQqQNQdQoUwFzZoHH59u06+aZbhOFVXLcYt0zbze
HoLB/UxAb6HtbaVicU1AuaSiczlguiCdnxV28TS50tvhkHTXRSnUQyQ48as4DMC+aj6nmhKJ+tK/
033nqgUL1ig+WAUozNPtdxNwGNME0r2YrvpF+AcfuFgNZKwDP9N+U8d6/BwtIDJ6a1PqI1LIPuaS
gQDDFe9TEyiRnoSf3MS6cFZeTPxpUJQzR19epwwrtASAlgJCywGi+ZY8aZPVhrNipU1BKlYwHUjA
KJKaXQXpW+az5nXzPtvH1piy9BssIrKBfeZCzFvZ4N8Yjcu3oHN4ZulDtXGt9qqW2i2TkTKp5ulZ
XA18lOuYIZzlAz+S1tNwS31oM/FMimoZX5dGgIeGj8v1d0nFokcRmSz+p33jJJsM9PFOx+B/U8Si
CX0YTYT+BJCszGWd4EzBrrGNebNkia/qTwueMN68mwa2+VGXWmEKfhamR4brWDhf3LOWMLeXA27c
S7wAR4AX57QrlRtWvCacJKzHlt5E25xe5m3iOfquiCKKUsGl7013csKMBXmaFMs6SlNzZ1oqUJfx
0yYln1ruFAqwxtUOBVkFdHhK6WTodrLib+qI0VEx5xh2peHuNHBCXCyJUrcxebuqxCPGY2r4z6f6
8y5D1Xv9/ahz+/pOgzCLzb/I9Kjv/HXcwR6jpgkVvcU4o5aYP/YZjDtoebhWfvk3fNdveh4VUpzK
auXIOhNL6q/7DPQ8xiDABo7PB+df7jf/wjnjMXCpn45sEcuRPxdBWdlYddQIA1YqfOxzQ4r2OybZ
pslGuq2nfktXQcfn0rHHZ5mVx6bjI+Hqvrei7DtdR3MMlbjyDRrYXbB/7PXKufKAB6TaEWbKqxOZ
ywWJt0+Un45aaKIjTRHdWoPmnqqRY2cerZaP69hekE7fZHHy0NNLIPWKLt7APyt784zAz1c+zQ8y
Kc88O79sC8GAZO6DFCd7kHE2pCU1P1lB/Q0xzyKcdJsorqLm2o77mXn2vXS1l3zUPlGvaNNV/DZI
lxOA/vIDgBkCgK5d9DqLCmJ5SoXDcDoG7tuc0P9KwMGASzXS/U47fYiD4CEp62vTjam3FvhpZpvD
eujHTSyIEZ/i9OA21k3buSeriD4XiIVzdeUajQzpbbioAne7TNljCQ43MqP3pHLuRgdylp59zbHd
IKqY1z6t70ArKSAa4w5rYU+58gCRbSiSAoI6+ag24Nkq3Pm2xCof9p609+hv0AuLRGz0avCYtiB7
lrC01l1EuorHYhcCBNrnic28qlk7OieyG8coTPbABYfXDNHMSAG5OzXt36JlI8ERPq5z32jO8Ove
1ICyV7ZW6ztsegdHN9JQWH26Rflw9kMUzPlDFWtefDK7pXwkm8LqqWDzwq9vXNaTxTg7TimTiuN/
dUGyn5LxMunhclgl0dBTH/Vd8CKo0v0g+uFphDzQOlPbiLZO5xoghtJpzWk1rGNzrraNLetTuZjp
PY7UB9Gn0x5x6iUHj8AhDdBX2pkZas3Aumz274JKHqySwmARDbsCrNGeVOS9NvD4HXRpbaYIKXeU
pCVLG4an15nVZVcFYavzu7S68TTBcbvjHYAjGo6HAvFNV9XMjd8fZHMHn/qtg2Z/9HITYGWWfDYG
08Jiz/omBUquUY2Ch3uY+NU7BmGhftiLIRJ7U7jFbeu2BS3uXnWXmzNTrwEfc7Sbu9pHvu5dbbUM
LMLj1KEhi+6XIcI5lVkD5sx6vpQ03K81S0zrknzUxklNeexdA1tsGrln/ay/TlGzbhP54M80SluV
PhN7Bo8e2wFT72RrgCcDDFaZxM6ztFGY+n21IzOWv+dss/bFIBneMXTlMpn2I/bbjegVmk3gn11B
vxHX0jKgvMYWYI5xvui4+qH7aURI6pRPZjmKLYXhU9ibVXfSfET6DpELD9u0bL4fw/9dvS1WLf90
HinEmrKI/MX1m+/89Tyi4yJwuUQTnlCumj86OeENIZp4XNBdXdk1f5xH7k84P02WMj+u2L8eR+5P
Bp5PbjYuvcnfuLZ/dftmUfXH23dgOga0NrZZMCK42P/x9t0Ns4OO5msUt0BiLerDSIsZFjMXYJHR
17B35r3W2dY6S8prTqGAtCJhdtnmjyw96rDIetqUCL2xiM3WOjzilSnnKGxbX4Zp173hw3mAcv7S
6O1pxmnC/tY/x2UmNjao8aiBjhyIXWmQCoUmeoNBpl07rfXOsnY9ei6kREu/DuDurKQfObB7xKM+
eV+T7U7bTDa3pZndq+a5zZIvWEE1b9mUAY7NoRnC1GhgpxNOy+KGfF6twVknSWZoYidzjSdrZAFn
HyDtL56kuSeqOc8kQkEYTfZLU4zafM3N0h+3NLhJoKS1ao6hSUpvyCUZVMwEZFJZjQfbRtXPjKqI
xuTxRTrN2oyqpIYV29WgamsC4JelKrIZ9Oyjp9mGC15AEYjvrKz+AnSc2dUe7jqqcLi0UlhDO46n
anJwmr5kqjhnCiiEmsnnr7t6PLpR1521evXWmkkmoEAltb6Bj86R7Ja2ed3mcY6hwYMsMwOST8ZN
7qFFkIDX1XH9VNn1Axe8GnfBVJ9z+s9rzQs2lRdcWnFzqIr6ojO6XcnOsQi8s8mJntCRCALn1kxz
drZF3dYPxkA2MuHvvbH6yVxHLvhdvcDMw8/z6Md9ejam7PgJ1kkshRGiq7TKy8jX7wq/gKreeNT/
uN7RLtM+BzvQpvCWNLPYiMJ1YWJL/7SY87XekabU3Q5thDIggqz6bTzO11ErqtUirMs2DrbaZIJh
cq+dzDtExbLLRxhE+tKFYx/f9X55OQXjzpxMDJj6uLZLXnkcXEnmDAe7zB4dr76DlLqTHG1kYeNV
ILr9NMR3DdFrIdNbUQ5PaW/sjYkwJmamBsctmy6AuLsJpsRWN8hETt587la1fuQlp6VvyD4zrnKj
4GfT5tjZQHqFPmGCJlq4WS7OiykQNJRG2w/FaYmjm9Jpm8NMZ9E5HtDbdJBvldZtyu5ODHCHgza4
jpMsbLg2Vc1yJlzjQQ8yGWZ1tutSsSdSytUZCSrt8pdyiEmheNzOsBevrLYJkyYmN6IhGLezfA0i
A1BqiX3NXS6kzmyg+48mh1ndaWFtTNzZnTer0d2QprTbJU4upWE/tkKeJ47xULS6sdFNlm1gUNdp
rl1EerDDNg3dics2OO+3EeQzN7HoPIhnuSLAdCwKvgzYr+yHHhdaefDj4XzsqyNfuWymybLOvJpl
W+7LwtwaKTsfd9Gq8ibRcSqtCCE/ZzRlVQ6+D+HoX4vW7fN0fO4CuZUBuz6fH8HyX3r4o+VA+Lnm
dLeMga4Gay/i5mn2lMKiRlBpu+e+Odz4RkujwCQR24X1lA7iIDvcqdoYkbW3r60sPhBAuza5QrOY
HU/OyEZkciq4wlzqA9FQVOntUj9/zMz8PNa7e68iblFARusTOzSb4pRwM6XY8TEv7VuaNz12Y+O7
XfJR08WJ9DeXATZj8YzWn6XjvjDbIxDlG94kZ/XAOJsIiBcROSKPcO1Aer00W+pO7GI7djoyvgQD
Yhw1brqrVmoHm22GTu1vT51Muci9HJ0woBt0Cnp4FMs1SwkMNmV7sixxnBresj4DWNkV9/StvOQw
QbAxH3phf3Z2c4audoC/+TB26a3jd3d4SwuklGg7OgmpFP8t1xtIaexPl7I+RCbJ1746q0A7MnPI
U1Lnx3SpXqbCug1UMp8gycqoW32dAfmxx3RbNc2lAz8s9fyv/2YThgjnO+T4z7NJmH7GfzWasKD5
MZoY7k+6z+H/SwpTIaJ+XJWxAiPw+wGMKmR5SxkGf4wm1k9o9mpo+W1q+bEZMH9izrFUNysNDP92
Nvkr659NKa9vWXhpAgPN7I+zSQo6tUtAuJ8M30Uoc6gmjPv14Dr5WZnCUzLXxrh4qMy23pg0nFTz
cjvUERmAiqcnqAqYxKqXiJSY3r5kXmEYV9LoiHhm49zQJzVWwWVZ98tZbA1Femj72byDF6I5B6PT
hQa6nBVmGVnRWT67oPFNih+N29QLChwn8VJ070EVu/LEDlo418o6P4KA+oQcgcZfpZCmB9sfIDMp
l2vwbXjt27k/2AX1ANTUJvmyiZR3cbE9OEVem+hHU3kbRdtmhPIropnJFLRr0Yp+M+hzenT6GR5T
tDQ8KYIoeB06qARIA5Fcdp7Ncx3z2HCVmM4rzMkXL4/fM5dnMAZ/3ACu89n05SfJD4O7ddnaH7LH
6KFXa7ON5aFadGfb59rwIt2Yfl1TR3CQ+WAQp5QonTzVHw2N60WQy+h9YqW9p9nGPFAPnJyDEyv3
uSG8CxyELC+bpt2RbajXgusLq/EKIddHZEbrW1ixUwyUdE3oYnijLiECXlIe/SGo104kvBND6XLI
bdSK1AyY07BhYC8oVyJWhPXZzzA54u7zqjxs/OATapW288dlXxg8UvFv7uZIYtjoynwVRzAOqJJ9
shNqjXO5jCvPdXa1EUyrgSKyPhHyIremfq0nXB+DQiGkHM/ZZFpjXpKGzW/xkFo3sBarz0y3xVnZ
ptUjxAaBs7D9qOYxO/731Pp+ajn/mF+4g/zKef5/r1Pq2348s7DrYazD0qWwhn/aZlo/4dRzvi9F
Jo+5H6tM+mK4/Xo49VD3lIT3m7YX/MSf61x/DB52+r9MogNY/vNlClpQgOfPDPgHP8qfHliMKZPb
tl15VRmNbZ86cyAJNyv+DkP+LM1gNU0jsS9A8+/tWL4sCtuOdeQWFgodd97bzGixaSC8C4o8W4V8
71Xx02B7F3oPbEZTYPi6YaSMFCweX0SyNRu8Msx1F7C5wIyOSb/Oovqym/sPTQXNnUB+2ApEnwBV
GRSanirC46Rg9VaQnTTo9UKvnbBWQPsEblnIkqZAZBMfWo1vTQzibYTbuZT5vGOR/KZNxjaRvUGE
Ot57Xg9kLYeTrVj6TiufCSvfFwC+1hm4fcvpn2IOoB18WH9noL5exil0ftsI+hX7VbExQPeTJqp3
xPpoaEPZQIe/rG1Ic8li3jJVtyuc1teTqZ+VuvNp91RVCfnaUc1lmzNpe42QsE+kKuj56mBf6uJp
IEpfT4MbVnn8VHfuU5C9WbIOddt674LgXZjdpVjSR6ee3nPbL0McoEtICOwKRZWdniP3ZZKy7eo1
LhjaEAMVS29ZP1yQ07hYrDZaA3BFIjRZD1JnVR4yo2tXjqGSxrp9pTmyOLZqu+locGkJ2h+zxI13
rE3dbRszELaDDrhvuodkeGZKPHqB15/5NUQdncKRZraD9Zy3/kE0lbmbe8njLatDoWw0DablXe4l
Isx0XO3uGE0bZzAJqsPXX3uzyZwrHyLf2xbpcOXqw6VOa9kaxandCbsiAWISQ8xzPC1cESmAo1tO
LljQdXFAKiPmbMJW5YMWrSUXTbjwFwkvBV8p3jJESXd0rjBoHuIMa5RrZjs7q4HTwW8zpmqVL+59
z2pKL+OHru4/qWvS8N1RjusMENrGNki26KxPVcZ1hEjLGTCjR21gLVt08l6jYGDNt8JLL7R2Y435
7ayZ3C5NF/qKUX+VlKms07o54Tq5zG3G+H6ezJVfSzr1RrmZ/Km+pL4PzEEmfK5FKbfSPNhz3yCx
bYnptY8Q4thARYjDnMJWnj0OeegV6b3VE9Xxsalu+KyFNpi/td/TR0xfbLVib97sJ8OM1hbXOzhL
J5sUd1hm7KQWWj45BpLNXLVL6JkUtSiwFrlWF6O8JdbQL3GF1q/51NKsbum3tnWmzZQscKZpMTqv
122secpC6k82Pjdz3fW+YG5gOfLsL7Hoz0EXnOuyuGjm+dZ0iTs5nZZs3JkE3ly2N8nQvRY2q+90
PsBqP7OHgOuMAeye915GXYzK8c9fZideYm04yrq/LhrtRIEZ9LyqD5d8OlnBOK3hZ8ESrlQh9oBe
OATJuBZ9/9UoGlUxSTMEvPWatuKFoQ1Cca3lIBamlv4PH+mTNR0Lac1fF5n9xFOXRueZ7o6xcN97
tiwrwzXTkAfysdPEtIu7Ydgmy3jWI8TAX4xv3GR6xVzHzsLOub+0HeH7GCxwZ7d7t3TDFscvR/Z0
2zss7MFfbYopkTA81J2wcgQfupqPhO+eClqkN/+PvfNajhzJlu2vnB9AG0RAvabWSS3qBUZWkdAI
aATw9WehumumWpy+1ve5H6dtyCySmYgdvt2XSxXQNGEV7FkCtXS18B5vxFWW/r0fwA5UVFQ6xTwI
jNldUJaXMDSqTdh62Us9AGgKhv6kscphCzB/sO3kGd5uu3D6Id3wWBXI4tG7KiReD0Ed31AceKDf
jUL2u0rPMYeZ3S2rc7BlAH57QnTbCCfism8s6BGOfAi84hAFjlimVXZqov42tkVBZQAOhtgCUSFr
Yw0BlK/t+3vbSbzdVHTvjeTu66OqL8zCjFC+Kw1khfbpC8pmGGfirefTOjvKd8fis11l8JRE7lG/
oUiWwP8qLjpb3wUJuxc6CoJl68HjykdFRtVk3wmZh8gWz2y7LHSKRHWYza1873x8ayVvpCGAsdiG
wNv4ky847urlYFmoN0oPNyBa+J32sbNH6gDoL9jFsNPhQ2PTIS76x2hMbwfORMqcPckvpkkWTFsh
9+2Rt5s3F7Qn/DfUofhUatPAdjc5j3Cu6HRwYZfqSOZa6jwyCG9noJst7RvkvQ9FRwFzXvLiUIiE
sqDx1uuKE2iaCm2T0Jmn02ngFjvdMPZtVtZLMZrdOiUq/QKGPNs3U/VomXzw2fc+a6O4Mu9+G6oM
7GfyyGGvg1xr6EXy/H0Th1fm0Qfu1DtLA1TEtVwtsk5S6CDoXIcs5xYjqL4eNy5+c1hSrvs1hl2+
Ag9Lh48sKZuU3p0R5NXapoKJLYAq1mVJY0SfdcFer8c3R+PN0Ea9ucF9/qAKrB9eoB3iMHwD3bQK
cRUvVFJuZYWBsHDLG3o0jYX09RDshf21RHnasD15FXrsLpLKudE750kSCQrKTO2m0PpMdCq2rB7V
wTTriBq3Ito4bja7V4Hn6XLk7ZdwVTDi0V9Uk/HqNP3FFxjep5I/bA1jbxWNZJcTdxyWjpa86VD+
UvqBlm0cJMuqh1PXZ/yq23o7TmztOstOUEDTXRIye8ceZGDAJSBazbk1MqkBhfneN7gf7Nu8sN70
hqUvZd73K6mPFF5N81PVecZzbJAtp7wir7QHJvhHGsDIWsb+Ug4Z0XODTprOa5dhI3GeiOi+dUDk
AfXZdyFenVz3H0XRgXNFbrWadkbAa+wUHT5PFikIFWrZykyLvcbkNHd46Nhlm3eQ8GS1Oc/5bXGE
JLuKdq4ljuWPgXC8Vjqfjk6qwfI4BHKXPZ6fEnTKo5WZmV/7sT76nOS0zNpfiUZuK69Dtw0NqDhW
gT7Ti6Vy0ucwz5tlpWpz6XXOMtFyghHvlLCfGAxwhbANXBhdcihtPFZll5AfilFdKm45npe+htSE
wBpOHgygwouy0+5cWgUQvORe+MOzYubCyzCVFHDKYl21VrgcbXz0eVrx47BipjCspipWiqNXUTXn
jXNyAX4hn7tPyDR48YmHrMPU2rC9fSl7PrpRbdxmYVHT92WdLSemQ85O6kWXlvdOzN/IdmGGwRTh
OV0XZyXqYlM7lPJ67Vf85WQ74va5UqR8805/nEAFqTF7MAFQroaGR6qrv/c9+q+H63Xhs3hdyaw7
lU29KXQyavrYoK6XOqs5J/nwmY0B2UN/UsXHlNeHycekA71vb5rFC5ICm9vksewBJjRMeW7Kow+e
ZreMfLw+kqzKqurcra7qTydipHOlon6Fma9PSJIRT+ncYh9gaYnS4g24w3vSdjDiKxSJ1liFGOKD
vuCktKrdWLl3KjLWyibtF1Tynk6rHWiCvW9rLDkTTEEW0VnCf6PFPR+PIY65U63kHlPAMrP13jw0
iQHqLnTN9DYrJudllLHjXSqNnc1tZrdlvxo9B9BkqR3+vYN+v4MKUqx/o5yRgfqo/3wFnb/qP1dQ
XLOGMH6+av6QzXCY+ES4KP8wDEK1c5jrh2wGgIVGkllMo8yeCyy+lB+yGUBZUu+6zlBnkDZz/1Fi
jGDYH2+h7py6RQ0X0NXwZv/Bkt0zFdC/7I9XKDHNRteyYt0InQd6anlBdcSzoACO9Tb3JjsoyvMw
dPfcULe2l6LY1hOp+ki3T6pgqusT5tiuEQdB3nuZjVazMY0WDJcc5A4PSXlrCtaBjmi1I5q6jY1L
vviTkSw1W/9aVIyIRjTd5jFtE8EgqbIve+6doXuFz94vCwlfKyzdlJF+ANPiIQ939DtjnjJvU0vL
9n0+dKCt7bVeR/ZOcxXpWYvScJybhcfqqLCXcZneCcP7GNLqXs5TQ04hZ607Gv2nmjqEPv19U+uX
V86/L1iRoXTxXQLyRSASBlDRdJSqIqMB0j/rgl+Nhb4NXvdWT6envCsfIcAcsRx/0bFwJGXOP3Ya
KPPzkpOw8bTMIa2p9L5NfpYu8b9WS8/sj6ML3Ay4Gpf2DohSxLrSx3ySRgx2tic3AT4GV6vOhVm+
JNSSLlygmFABcriP9vg+xeYF8Av/wyvv4ijkAZxYlXfTWB4kGJyHZDYiXi/Q8YtUNYxxo2YvJrcm
NDbdH7am3h67OdpSTx+T5xEHcPtjobjeufV3TO8I9qlrSkZDaAS1N5RMa5yhgymeS3ZRnca5Xoly
3SvTXjXjR+A6a9MEMGYG4SwufnZuCGA1tYsVjbZyY+gtsOHMvAnq0UFjo6q7TMrbqJ7ePK7CC4OK
vWWUSWdZiwbHp8Ou2WyfkkTednpOK5cDu3YGuU7VhjITThOLkgDDoakrfG6Lkk7NvDmGNZWTvca9
13N4u3og/HB/h+3KHeG3ullB4CBv0DhCAl5x5T/R7kSPZ1hBpHOOweDBiaEncQV75g3Q7YzJkm+u
4o7WKHq8Gy2YdkFLlAwvesrdQ1DTYkKh042pXCkRCjovw3s3cHlPScvcmXmOjUaqZVekrHPVRIFI
xYaJDgeQwMOtY0RARq2A1pLcW+OqOeWOucOl3y770Ke/vOHiq1Ez6UYQ2lkeLZySicseEISSTF0l
FItatjWMnfQr0Y7nJLcw/w43ydzkYoT5B3oY/b3km+rBu7CI1NeJx4YyaODu+mNzY5XWN6irpGHK
aGdl4/uQ+BdlFvcxzUHL3J5es6rlJqfZIcmyJNmUYc0EGDivzE63Zsi5TEDrI5l6jjQz2E4diEIz
0xym7TktFcb3MgrZ7oVxtoZq+FwM8plSNQSFXrzVevIFTD0bn1bixAX1vIglTA7pPVFBcTTC/uD5
uQ49yKYxAjUAG/WSQXrZ24aBxK29ophvoQWdZE0R8uAybZNDf2knkyVhaPm7vgQ40eSUHwyw3biP
+OJqptLjjJ2NTf8ei78ulNjw/M2xSJ/gqYub/7m+x035V2slvvzH+Qg6HbMLeSDf1D3kVlTQn85H
i4eqRSBAB+uv45P5cT7atHDzNainlsdKajbD/DgfxS+e7/JlCB6/LaP+geVl1mB/Fzfh+AWrTqKa
78chOWu4P9UJ1hzrDXpxeA0hEUBiisVvYfv/s9tHOL/XgSlW8Ylq840cbsqu972i/OfXyA2p+2U2
qkuYunv2MQQaTTOpN26uzsrCVb6ar4fbCc1oDSEY54iBzntvtmXMg7z1nTPPaL+BWB1U567WPMBl
HRfZs0OvmFoLXDvhSi8NvC7NoK9lOeglLsMcxDcI8a2izXDLPdNcD4ZjbOtIVOtGDsnWcthLF71z
k0CT2ZawMFedxEMZA000MVPKRNsW+TDJ+6Keos8cYNfGMqBLQNgmirAGzSLMhB0J/2uNxI3rJhK5
bt3zeMYCUFaqum3xXtdxNW0mLqELTUUvVmkQ74tAVCLpkbElINJXW7w9p6FzUJFb7dJF/ZOdWg+V
39zX6XSCGf7k2ESkPYfi1TQWJ+4361BUpyhKYF6E6d6owZGGyjkOs2ink8TtQ4pgYyQvHdV9kuMB
f8BrmSQj7dauw3W2utbw43d+EaEV6u+Rk46kOS13KQIxcfQYRAIYUUbfX484XBZQUc1FSPBz0ypF
tNsKpmM1lsc+0LYqT6luiMNtntk1JbYTEgxh3CE+52yL1oElaI2gCXia6n1AlDGCAb9NCPKtQi3d
19Ncn9IY+6JRHNtRfi/r9hhZeMeRQZyvY5/SE46Mu8TrvFElb1VlxGuBm5QYcrHK+2CvyopQexED
tyNunrJIQ2BCPw4T+94WXNssJbodZDfO2sAnEBQIdlxje66cHsHIr/c9Hl+uPPqHcLpvBOw9yMtO
frT8HG9UlNrxbVmgjYPoj+0l2Gsw84Z28NmBbhtP/4r+sJ8cbLyG+9iygAMk5hBIrKkB9rjoG6cp
9277otj4uEKhZK8bQ1vmDpRYrB1bb2jJI1v84u1iLv/tn42JbUNphytol18mpz9LnQ6yuFYHO9Nv
Jr5pb2DqILM7CYMUkfZmNqB1NbXHd3uyAm3nu08q+CK96UAlh7exKTuuXfsR5YI7oXrv2bF2rdfi
NkpPNv3bYcClzjJTkgup/5qF5quF9w6yk3HyBeC0QVyraDfmIlpGE2EJm9GE8oMHTzWPIu0h3abU
10XhjejxgZGMIjfRxxDt0j1zOTiW3ngqteiBHPejVs5lP8PGDctPZrRD5WsHpShIJvhwYNu7zRyE
FzIyK0saWJI60d6JITnw8x3tRP+CgZtImpXhl5J4skyrTC6QbtOd0nLzVQ6e+9J4Ep6CGscAOT5I
71QALlGpzCBGFdS0B7fRqtLSFBPV3AfUjpQUmRokPD4WhK/t+NKJuTw7q3s6+Dr2SnzCiLSQPvYx
W3tV4L1PkBsJfztPWmM6675xLkFU0vyc0ZrXCr/hzYwU2FNGcBy9uaTJtO9aXQfHUg3VKuxLDxk/
OfYSH3WZDotkkOWiL5twk/oC7e4+4S/PFRxp3VXc/j0rc85BiX1NTQSvU8qYRQirxqnGiI8cZjlh
P+hhSYI8Gak7HsNTkhsTKPPgNp1VS+WzDktWXmJSQqPp94HDX9kqv9C8ANUm2fVJ++nWwzWzpwSl
JWK/PGSvZoIw7bhfJNHpziM2LQyk+mBIEE4aLh4IXqcmsFfjGFMT566TyvwG5UFtS9rtk6J/7UmX
2aIt8YdBuWzFpqz5M6cDZGn32SiaJ7srnm1DEktXyb3KxlPhD7u2wr6nDclzGI37eOAjqtS5D/Jt
mFM1oGfOXdtOV6bIVxXZF5mIpSf65wEkCIWSh9id+k0vfB4Wer3kr7EunPQL8lSDad9hTUNBs8qQ
eFov3oeNQnSAqb5MbOcePg6/wQy7YVi4D1UfH1oL+HwT67R9Rccq4P6mxcVNHE/tTibhs426scC9
tLPJPfO4IQzFBqHgp88j9+R1Lt0O4cFo7VcfkSKY5LL00qtlezs8UIsGFhBzdfqmMaZRh7TrsonY
TBe80Q594He9itFDF77ps8kYbxvUnWUimkOia7vadr4EOI56lBvR9ve0Sq7wt04bghJykcfRjS7U
J/ciePbYjnRBhZdJrThVl5A2qoe8aIkMFXLXU5u0Y/gcT9zlV4lpnsicf3ECedRrdElAkS2pdt1Y
SCGGG6y64BLq0EIyrl8KUP4bTfeuXLW4MxVVNbOEuU1EKt/YjvM1zpCvKj3UXqB18n7B/r4eCSJx
MYizbwpTO3ugPIKRP5rngQ7FX51P/+cQMl/y/zvmzCMInD5w6LNKMfcLMmn9PIIYqW2AGAm0S5I8
OulT6r8L+9fM9f/3S8yT1k+T1Mi72EkxxrNNYNZ3r115VcnNT2MmxrQ/9iSiivzFj+HomJFQ6qHx
/P41TLMbodcgt7P74uF4ndqTUg8UYv39y6Dm/Oll5hyyMC0CQqRzfv8yoUxGy0378NphQqygwDQm
n8PqsRM3A5q603D/sv9V2H7LcfHb+/urxEG+Vd1f1fxafOmPa4Sp/4Lpy8AyDpHS+B2YDpnN9hyO
UJcWZpQz/pw/rhHU/HKfMV2LywIAi9lu/+Ma4f6CNPfbNyMg9g9j6/M7778fMCxwzPa+cBxiXBbC
3R9j6y4jp1JirK+jBlisXJiUAaGooApBd4+KayycM4zH6OLY9RYio30L6RQKZKjfWYG4S+vuQ+qY
0JSK9kkPVsQ1Nr3VnVJqxbR+OmSFcfIKeCimi1Qg1PtYWiedarWF1eUX2FSbIHRZGmobzqhb4i+P
7siJotolIh+OKG9Rw6KHpbhP6cGJNG3OMFp724ueapY13BPgMGWXboxXva9f1By38h2FFXTazqsF
uoUfbc4KjZ9ondXDux+354CUbltbX6wQq1vbHorA2bSWf+xFxRwQXXxYM8RUaHEtL51J64msznif
n11BUNIwLj4TkpbKa2IkF6kZ674j7tNMq0jvwUM1N1HUncNhXPbS24qhW3P4o20QNvU/m9o313ky
oNR3Haq+98Y+cEG/6XOS9Hut8VmwNrSOTOQwk1VeTggp9f3YsIYLVHyllXCXsjowElaHTb6bxuYu
99r3wlQkhYoLqM1T7+Q7e+oOeT3uuor9K6Oam5QXmunXE71zViju3JklRIh/17oQX0Q2nNMOAI8x
4tgN0jdLiju/dJYRJEIWgjwUtfYUmvlqCnum/gKmjHaX+Gpv6MGTyEfCD9baoQ5xwWabwXneXgR6
tZzNuUBaho0zVOo2G7tghfL/5vZkJbhmbb0SlEqoStzaeOryQb3TkMjBX9dYHdfN6A84CxuvTnbg
TKN9K0HXX8U0Kdg1wimsbV+T9/Op/1v1c7JsjpjJCnMRdeh3qWzLQ+FQqtnMkTQjM6yzsqd+1Y94
CTIVw/WHRrqC5ZncmYYJAhXdCsv6LimMBiXS99b8SNQa05e5NOZoXFKyfmvnuFw3B+fYkaApkqWL
xVitWngy0FLoFZrmyJ0sK9L/pPC8utXXIMRGlDAqfr2RYrLkc5ije75mPmjIqdKzVmSsrpNpbwRZ
P7hPbIyRREE3fgAHO5PlfdYwuCfneg4M8v9lzQeueWGRJoznVKGkNoo16ars2SMFc/QQYzUzcine
QwrSFvocUCybCpVY+BdWNFQcA1j2GXgWvejy2XJVrVLT+whL/0sxmo82GUj+/aTypc41bg5IWiVO
FSLF5couOF7o/mDRWxpwDeuV5cXXnqQlbP4noUZ0Vf2QkMSk3IjiJq1bx2Q048lc+3lWXXA2Vpt8
DnKac6RTku0syiikNCNt1mbUW7jFmF4Go3gZwL6umirHx8VuXFfI4i60jU2Sqn2gcR3VcbSzdwRp
wQ0ya9U11t33+aakQDMvapXzvnUdQn74x90o24UeplizMjdeSWAanXwbSPOlrdgv85hCYaWJg/Xq
onPilzG0+Oaa+BoHFbQveBqEUt81Vp5cHMalCvRVVQTPFjG+5eg3fIOOOCyMHi465rwwBgBVlw8R
eZGVnozjWlHdBfUieLFmNlJQBi7vL2tDfUuFUXfgIxqnrIglH0uUUFaolvWZ66ba9kHo4zWr0Ykp
yhryas8U6/Bv6w+l11xVTlJ+ZOvh5dZ+iDA7tf1ToeuHdvAmqhRgeMYatpZOV6c00u+HsD3aRfRg
jJQl9QkeszpBiBaDtXKUdoo7zwD6mz4iu5AsJ+Gywu5HiVXExnCDrSSMlpqk6pZ6OR2TUh/tBYnO
KOtZ4uuettWRhcivctkpmlxuVMcWMB1xF2M+cA2V3cYsOZbfj+B/M3wCT/vfziLt2/8scRz/xcaP
r/zPKDLPG4iFLOd8BojfZfhM9npE1nDkw8Ced3f/GUXcX0xALUzirg0oFyv9f0cR5xePCQLixexq
N+Zl4D9QNKmr/PMswlqRawWWUwaPPzYg+YEmgbp65bXg2bxBBWf/heUAq1bxHNeWt0Z8NJhpCf5m
qYsuYbf7yjY+e0lXnMzz4TBgswepk7Ie17tdKMM18ruNQ04Seis60l5Y8hI3eR+CmugbBneqyFha
ZW1frF2kI/qMRv8mqvJHu2b7UA3WCOZ2Oo0pZ1zYyqUePweJ9ZDncXF15ySYnDNh3ZwO09G2DjmB
sUBAT0l9/9ajum3BO/+DqF63gdo4PBSVv3NIiiWlGjc6ZhmtUXeVQY5eltkeZRH+Iwx7UW1tnBms
D6ivced2ej74kB7Pje1O7G6sbar79BeHzVdW7xN7orBfu9MIVDMOtmFc3RPR3USKzy6Metahdbzv
M/eLYeDjHNRw6cMZZTKF+PnoNIM0sQPoZaxU2kWrrJ7D69NdEBrjztYMfjVd3B+zGPdCboNdLOOD
76Vzig2DY6t9S5KMp0vFVZpCuu0wUQxcBS5STZ/ilYs0qp8A13aZd2OFFMRiUCQXP2sQrXXHkXon
m2+mJz9dvl038iuLK3wNkdG8RaTzSKGTrhNuiwvSMhcIRganHnnFrMeUlQkKrMdmR5vvHTq0vKly
41ypRK31yijXsS2bFftlczuZ5oOYZjdL7688zX4sKXE6VH3CPMWx6VTBBTdlz9iZboI4O2L6vBkC
uWpp6M2GYiMVcF/Djp990YhtoaAlB7Mnxs+qzRTj9a/GFw7hjSj6L2IYy31u9Xd9o7EOnoYPXlmt
lZV99G5lXMEHWIvKGG8A+xHmT6Oz32nBqbfqd6MO3EVbGyZHUOF8ibTcXdOl6VOwVTQ0QUwbO2VX
yLMam1+v0aIcyuZWNZKWCncMW59fENh4NP1vXukNhx4Tlxe4m7pUu9YKNqNtgRMI6ldfYG8SY7ET
aclLcMwzTuzqASNLZ/Mr9sJgq+XR9GiVku5vk2HbKt17r3KOrTF+ZFEFXy6177IgCo/O1K+nvL+Y
mBgNUHSMOyiiRRN9S6bSZ25zvynXDRdYiuhzoPSOWF5z2+LM4YN4DqjWXiFelZhk6B2Fr0rBFTo5
+HXe4R5JVzXyFYpOLXgl4yYxgs+sDG6yeuxWIm915o6OEqIOXhSe72NlFvp60p1qF3bTSjN6yA3F
YUjMZhUH5msCSIc1bdueIqHpZwtn24euB+mD1EW5y3oPsczIIgSRf0+nX5duf+9FYel2fms//mrd
9rMdhXo+IHvEYecd2XdK+3/WbQSyTABLtutbgusyd9gf92T3F8pATZdbNMaT+Xj67+Hk/kKZn8Fn
2+D6/N2p8g8Opz+t21zWgETZbdMlM2Z+j0z8JBI13UDBjgOlUJc3dSjWI87Fn47sv5CI+Jf+dBHn
HNVZ13ENt/kJTd8WHLM/y1AgmlKrc7vuivkTCfRJ06++fduInREg3hBiXv/965l/QNL/+RXnf9FP
P5NJADhGz+uuCf46Nh7zw2P8/iCR8zNlqKV36Fu7pKyOJ07jgMaFmVYFChtLm7eoxfMTigehuXcs
Ap1jVYqV0XDUWl50siXYOM9Ml2Wtf+u19NNX2ksx5TfSMAV+NJghSViPy2KEm2WZEXFotMYFxfUh
jyRn24xZvMEXZIFfj+U2gDm5jFWcLNyaFQYZL7wBZkyoiZbVLr7z0B58G3utG2N2rgL+SgmehwDe
azW0KzHSNegMtwFWFvRzayelcdNHSKoe/Xw6QfU0CY/S/84CfqwBejEYfOkn64YOpV3vTs3aoCw0
buGgld4him2FF0YOG9aeDdWM41l27nTvtrrPOW2PTXEvYWPtnKoEZ11UWCwjrb3Fb8p/6HLccdcs
FKeWxesFHh5c1gY5l+1oRQzVOzmk8TSRn8iV71VKMs8PLpqeXsbJeYZtgj2AGMTCt6xNbcZfha1/
o4LexnEjzqoUh4Dq3z4tT20wrLtu3NN7fKNP1bIIUKTVeAJhc+o83DbtlOvL0B6OTa8/V7RCCgE7
IC+mRxuXNYVYY3qJu+KmSFsa8QiYTelBl1REqdKBwtECzasUBk3aC3SAbNkahvEj+UOS5RouajMv
u33XDS20KhMCYlyNp4zC2w3g6mOWc/kcriLy7pqOuc4gI7mIonpjlPkhyOKbrtDuh77YRISCF/Tf
rr3YX7h5+82NyN4ZToKrY1j7XU5uSBkrVOSVSMbbtpMIn5zkDrDdoe43kI9XLeJ1bugrKSV8UXGT
B/QrDYr4eZul/Z0aozuKWPY1Li2OzReApkvl2vVDiVlqmcBuLUAs0LsCioskzRSg2UOwNtL+Q4fD
WhDRqQRuMZ5gezNPnKVlxazEB5Cs4U0U92dhY0u1863S7XXmFgxcwbFpJFsAvGpTSyWDdkELX5nE
nnlQ3I5AB3DPo0dYtFPB7HkSdTPbVXLwfvAYCjsbdymF5/s6g2jDdZVklnZIm+mhKQfoSFnLHV/e
Jz1QwQTtF8o5qHPPfPO75C1xvbPELY7vmt5NYuIjPpsB+k3Qe7t/D73vh55Akv1/Xsmyt79syONL
f7qTYS8x4KDYyMSsZX9ymZi/QE4RJIdtgsOYLn8+9kCWOhYnnviOQ0Vv/iEPcyfjc0+mEFsK5Csi
z//k2DP+5MLExQIQA2CYzfWPPNvvDwnXCI0sq215NT2KOcyZjmEMs4wBxnNhqtDYDwzMGTCNIscD
iKIWveaANlggbzxy+hIAh9tV+8TWrpMWrHXUQlI1rjxlM7WDj9bTqJOxwfm88hp0VU9r1z2oD6cO
6KJtJ0SmmQAiE/dWhRZAC5jEpb7OaKLAZGLjGzGUfqHOtMd7LvptFETZMrV5KBV6G9F16wPhq0ld
hdSx0cs2BZLds27LXecM+YpGtYtCk16MI/YQnKb2KlKtIqqiP/ZU8bnJuB7MtkHdI/4Bnqxe2LX9
1eHnXJY537fyyTiCCPyuTAEtLZKvPgCy9RhQjd1xF0W8xmBQiGCflTwZ0NvXsqAnl1K37Gjb2nAK
YrLPsI3J99TJIwFhlpQZdySOsCsIr6U9YxWHiSCR05E+reA4ptXjbP4puTkuLGs4CRVXG/J8s6JU
dKtCy0pWyiiw/gwES6vuXOJiXKajzDZTrwGzsg92YVJE39/5wAznnbANNMbYuRb8fWKC38gsnMNi
ukxm3iN3CiytSf2SzcTpOSFCIcypizyiXeRIl2HaLbUJ1V6mARtYybKybBMwzqazT1rnNg3waVpD
M6zMKVxX5Hg2gya/VqYZL1BdL6YFJLXSttzkqWuNr4wlR8tiIZyL5kjGdORFm5sqdtoFl2pjqbOa
XwsWpQ3+hibpthX9fq4doev7UiOxkUhS3MUqLbVtnWg3qZLNmXwnlkR6y3kQOncsHc/Ym+S6HgmM
iVxgB6SmArF/okdFtM06SXV3kQ04PsLmQVH1uumT4hyK4MtY9eMmIwoaYsJa2a3+JCqi+VblroyM
9r2qdShODG9DLBiGmmVzhabrf6udAZQPt0Lujs4+rBDMWamc2q65xrKptFsp3Wz6GFWW7lxkSz8t
n6C50k8x0fI6C8EFcYRD0vqvMtXvWrvmljeSqycjMYUb5rFV2QwHv6WYUTePMosusZQHlTSXQmY3
fYFrgqseHLOgG/ZOYH/ifOmYxAZLbOMucIEQFP10bzrTOayYbAySBBvwYWoxWA6vK7ZIvdthnodG
BqOBAam2X5t5Xso7/7HgpKbO+VibNcNXayNEWhijpxsQ6Kjl6JakNG552KFttiuTPlfW8dTWBAxs
5FdO3jzBpVhbJCMdqtPMCbyfSlUvnHnqi+b5z6ypCBG5W9CcYDAAzXOixcBI/U24q+YZ0pynSTnP
lVrHO6cokfuLeerMGT89xlBXFJ+SsTSf51Pqh54mSAu2kc4cUWZYe55m9fkijkjx7s1Xc4q4z/F8
WR91/YbeCD4M80UeLueHNV/tde743XzZzx11B4y43FvoAPgiNnjHX0b0AQ+dwJ8Fg3yWDrxZRADL
81zMsgLYwE3pjUi8ZHvL+sZHf9BhE03zGGOjTCSzRBE76U7OooWLeuGxSuGV+6XliwdjFjiiWeqY
ZtGjnOWPSjPPahZEXJQRBtKdmqWSYhZN3MxcmLOMgoWVGjeUFX5W7BQpqTg/rt6iWX5pZyGGApE1
gbTP0P8ao9M06DXpLNyYfATNWcpp0XRALW70WeQJZrkHQbte9LMENPTJlhpLtluzPDSiE8V8O9I9
c6cLlVAoSRGoGfJtiEtilpn4gyI4mepu9rEbeUkP5ixKdR4NCt9lKowLe4VLOdBWqWcdI3yWhBrd
L4CV4j2PY2KiKF4h5QRaVN2bSGHOrImFkdOt1ayT+QhmqUktiNZY23rW0vqqOoezusYK6r5DbiNj
gO3fqrYdQpydlhesPdm+RKIj63Wnk/rWAmvEHeEeJWKeZqDqRdPYbQaEvtRnndK47i32EYpkZoTU
v/PUr/MUt/q/maeit6Z9+wt5m6/6aZSiaRg+Ic8N3XcdTBj/URCsX3R25bhl2XNzjedy/ZuCIIxf
COwy2swaN1LCLC78NkoBjwcMZZHUYw0v/umq3f5eJvy7Vbuga27WyjGAIFn4aOy/u2/PL15mVXaj
I34ubMGGyRDDEw5SCskr7VpG3Gl5I5/TjCrdeqQFe4RQ7E0sI3vlffBMxP3jP3A5oXXFqLwZkYwf
PkT+9aydl3Ubpw3WwJJ3A4dWnpNpHrDv0MD82tgtJHMuBhZ2qUbxGXeJo7bdB11B64HlLakGjn2j
RDsVXx3ct+Hox+ArZbrU4rzbJWW9I5xISU1IIY69mUyavi2qVwy7PzmmfHQRKQYz6vB7inhL0P4t
oxbV1PUXtuL2xg2CDmdtTtrVyEIaePE/Cqc5sOnvN15QHlsT46OVrNMouQ969qcwtIZ1X6rbAkLd
ovHKzeDk+i7nH3e0YPEvJ29A3StICyOSXn0r+wYQvdyOJtnAmGQfHtTgoc4kWiEZA70YNBTJ5JwK
mu9iCCzwxMtsGZUuqQVFh5I7ems6NilWbrG3Dtkjx6sGJqXgASQJgLBcLDz/YPR4EFy7PfuF+VBx
ljIU36JMaOtudh1i9GH35X0a2uyCNYtbFTEp08H1miTG3dgQxMSG5vLYsvLl6FgP0/+ydyZNbWxp
Gv4rN3qfjpyHRVdEa0aAwAwGvMmQQc55nvPX93PA+IKRXVUtFnREqRZ1w0AqdZTnO9/wDklwF6XF
rIs5VZDfAo8WBCdk4sdhIX+vqtFchWOPAFfQDHP07z2KSu0zHgc3fsj9e9hDAcfIxqmZ6+S04BDz
VNORWgOZEUZACuJZB8tZD6qAIKyQgQa8j9xXGAU7KWMR/xZd24u+1PtpZueUt1qz9DxoukVaD+gS
OMasC/m7GAcbonKkL5OsOcsyG+Cfy/dekQwqfYFUQn6nNMEJph0nZeAER5KngOaFxww5Cc1zpxrU
aSLBPA/rfOlq2QbNn5MiMCzmHkwFvSrYyGF2V4RFsChigLpNUEJWSankudFOkCeVGE66Ip+rajXN
jU5I9SAz5DVHVZpfN1K7zKoUqa5sga6iwyg0QM+3ap25bnbkELFPkSG3t2AJd1ULQCXsl12QD0Ad
0emAynMmD3yqwTrPaBrBe20v7She1PK6GDd1e+piKDPIzpHXp2eKkZ6rrbsCcHmGHAa4jQFdPjF/
ahoSzMwfSXUpmUyGJDyggTs1JaRFCpo3WcpF08TIp+g8J+TptA8Suf2On3E06xMNr2hRw2tR9a1n
MNtlNviNvjnKpCIkD3acpZIaR74CSnFEb46jiwbPxEYBYAnMlplXj+YFCvzdwpFsMiRAvV7v1+vM
jUJm7jp+YCA5Gz96yLT2thib+9HqUBmokGjztO58aCgVkB9iol1jhUM4arUpQE8VdyIvro+JPcLd
Iedk7wtADmlSHxkpbY+FBtrWuG7lyEYjAPnlZaODdvC6IkVu3cJOZm43KDnM7VTSoUa3qmavQDsN
Of6wsFw2SM8MzaUjJ0p92TmlpB03fZMddwY6jLcYS6jtWVTnq0xoKeQh/aZM6CsEQmmhQExeKb2L
Smgw1FG/1mFGL0qhz2BL5rFh9ShjwvJAet68x4qoon1lohaHwEMkYVTht4DOFXk015rQgYhSHM/5
dXwjjexr7upb5CkxtrFRNdDG4jtgD3IvxCpJmFGZkIXeRFkjpTsgQTHk1awPnHBB+YG+RvlZcpvj
xM6+kgEj9afReWISX1G4khwb8bTS+jVIWUPuwNFa+TaIMIEUAqa1itY8ZT4jobq7lNVw4yKgIYXD
Xeyr30cFZY3KM75HbcKoP5hJ4xrD7nCmG6DX0eOIRJEu+zLorFmPaKFvncpRjP8wGh4dWh7+o6iH
kPcokLab8DBuTCsa8Z13GGeiBkLrQp116A7QNmxOR3mgx9oLpYUwX1kpVUcFuH2pCYmRHAVqS4iO
jGTkQPWlqzqajYZ3owp5ElsP4RpLDGbtyOl4c3ARDnom2ugAVEFDfKaB1Jp2QvYk6fNujoD0SW4j
Xw0ZAFSIYp0FXXpKrocCN3Z0DoSBKqkY8NRb0+mGOeYSlwPjU8ZQjHhdob+CtuK1KxRZmi69oQ+x
DqWIe0S0pRHqLew6nWcASWFk4qQp7LQdmjrXBOiFnMcnUeLXE9XTVhqyMCCJl1KATkyLYAxD4fMW
fJFjZN8CoSjDdHyjy+DxhdZMS6UPUE4ppwZCNJ7UciTU6FeohhPCRoigTQ+C5IHNoa0Wy8oIummg
V2cRIjdkIgtYr1/aBEhNhIWcLvRwhkbv55HQyEHhvaAmdK2l5PFTS2jpQB9cppKkLCH920c1CzpF
be5MzoX6BGI8TUoaW5hUDcj0xGh6QgrhECRkLaRg9JZSpxzHaItPh44BXclOO/YU9dwUGkBSBbKv
TuXkaFRRCGqxHAC7L1SDLO1I14NzvwkZVGRgiFMaLgQ5Ahx09DFR2RKGfa6imgaQCuyLiURRmnk3
mlGgjm3dj0gY9aa8yCt8UiLUjbzcnNXoHblJfitn9krTy8uONrEWSnAbEEiSY8yvUEwSjnSNpe6c
CME7FJVGIa3k1PJlKsSWUskAbFb6/0m7n1Cuxh/T7qsGDYIk3b1NvMXfPSfeMOVE3g2EFbr2Uwr9
M/GWP5HtKqYFKBmAqwCPPI/ubPzbcSWVFRxE+BUhdfbcw8TAnX8gRWZwh9IKTcd/o4dp/oIrEYMu
HVI6YVJ1dNqpAvfyMvFWWqNMJPAhZ6PhrzX4mHqL900fpbMxDTP0PwkEuDSd6nmMII6G6GijLIO8
PvMbrATp5wDLIguVBBto3VX5Nmr0O7eizZjWp/2onHiOvhp9s0QmORumvuXdMb36zHaJ5maSbHF3
MKc69kETN27y6aigqpUMFOFxhAOUndSEJ80/bmCTnqT489m+MJdEAWUyYtNZOtE3k6dac5Vzn/CY
lwZNNye87ZRW5BLmmY2I0ExtyBwjkJBn5IAPZpZRYnDogwK0UG9qI+WIuHNS19aR5iZXqDTt8EE8
BQso/PSuuqHNgHN4y8xsjk1jBC7TmmdGZq3jGtaW4xvXGnD1Mau/dr65qFrkKksFyFrn2Oe6UzLN
oZnbRZuwg3krKS4gAloAiFUySy+lG0e0SjO4x7IRnsCl7jEoHqBoRfURowyO4WhEjc10koUUOl97
Kzk32uZEJ/He5MVnWqWLBLmWwVLOLAM/Ua2/GBSspEJmfBrWdZpCpzeWblvdvaE+WJgNMlkOLGKY
wsm3YGiuc0nWZskIYlLpw83QsnRF1HyWexd9o8hMvhT6ETgSu4ZV4kE6K6x248mgkzEmBfSCG/PQ
tJc+9i38NxYTOCzO6iL90nAbbgE+NAoQe8FZYGkEMmtjK1OkXmhd8j2EoQR0VLbjWTbYxPNBuwhs
sprOfWAciCeTaV7pmXkhgQefYrdw4iTw6hrDgq+VE9OC0r+QMGQ16L8xVyUw90V4Zbvpvc2hn7oJ
3YboIUzLL54DptBUDQSG+FCr3FU6AIKujc5e700pmhaaLvA1Fna2WRAxOGpmI5RjY4yWst6uIhWj
mbTpOU8pH3BTz2e6CbJRtvLbDM8qBztPIZqM3U+MsBRVB6OoXmFKVYGnkih+J2MPZ89UnPyUzguc
tQhFqsae6jJSKlmAYy5tNJtJZ9pA0IKjwmDvhKICX83qNjCtE+bjF2mbBVMrQOtTUsZxmaRhQ0ZR
ks8OaKfQtPqap8Wl3fLFG503G4xxIzfug9tKykxrDaDL9kWDrXancfYprntkRRK2STz0MDHtRY9o
w7TE04rzPaomeccYMyzACUvjsGXGgHtSBecrZkUntVSu61aayREy3gOgaSWmPY0M/hIoazIfogv4
bAp+pRzp41aKhm3dmlde315FMZ2r3j4HCc+MzQPL0qkgWrVA+gKlDEkk+Fb+WC/8oTXXSHB2Exjz
WHIZ5DupNGz5Xoe1XhnwYnMSFYi6M1XSd2pfncaydNrLdToHTJzO4f9v6VmvhrzGNd2k4ylb8OQ5
z63JUNKqV4vuMrG6DGRrrSxd1XOmqoZcV9fG6axreAL59+9qjOvbYMTuBNsxCx6pdIG6365KeCR0
MwkA51jXeVlsqpj2qKrouzyXzyxk6asQzS3UzvV52iEebiqYystjeeIqkHhTnW+bFT/GXg5ZPWzQ
p02d3uk4dSxQXaPSDmzU+FuEf6DZrFwKt1WmDNvCZOrvEBrRaVoUoGmnvq+fjrV/VlE507UEMzQE
2iXmMh0dP4BflbwMS/0qH4mVmXKpeIU6zUZQfHJmbT0vX2Pjvlb5cLMukE2yvuYaBXFl6oaBsIIj
/S8NHuqocu9ac7wra/ToKt1bebGEBITSCNg+Tnp1c5nbOAWUEd+vJjGEQsdx2gExEi5j3xB/IlQA
//adMwLdkkSNjrReXYF4/hKp9U1ZAPaOo+ZGd5B6UNROmcmy6h+PVYgxru0b08GnEMs86EhA1o/K
KrxMTW055hAg3Ei56yLqBgeFCSN2YDQ7kQDFmQi9q19a83NXrUf3tkNV0tc+o044AXD5Bfml6wAC
sKmk9RJh942ao6KZx0q1kkNzpxDoGaM5521gsrWR8VxJBlm8ZY4B4+oAKRVdn+FkdlLl8UXrqCur
jwm/AQZXg3IJZv/Yz4aRrktzY9WUNnJRr4t605r0DwzAFR7+rEAwglmcOcFSLUpG5WVwowzjkuli
eIIEoQLTujx1BktaMNuJFgjxh5NR0TRm+eizGW4y73Jvjc6zNK1MzBQR3/YQ5sOMQV3R0tnZQeKf
dmmNVxrDCMO6CTNaMdi7iNZ2MQ4bBdW6qV/xPSOyYYICR1mDshwAZ7V269E5U8CJnsmjhHQGVMcj
VMo3mAvb9pYqdliOPbNPP7eFmx69eafwFomhnKq5cUQ0Wpsuj46tM9moIX1Kpa59CaycCNEWCFNW
0gp5po2uV94q9eWdNsg7ZhvfOHJou2GOMsiIqtmw6SKZj849VpqSzaI+RqA4QrbR85FCCfG9dXHx
Qq35FoZeuxyUOpx3hT8vwN3QwR4XkKKF57V57LHY+TdaF4ruXlAyrCSpU8EEWGdaTgkXNIkypRa8
Zvk5xZV4x9Rg3aqetcihapSVuQxtRD0MzUoXaS8jCVPKwmMIQLdSdLdp3cPRjS8NOJNmbFxjVnE+
FCGqgmN01OnmogyYN7FPKBH7hVLnuBLo9wTX89rp0ilmQ2jtm8UFyNgFAQ4rMl2UhAqDKp+ZoDXi
wG1S/mHTdGYxxJxErg+FwImGednXPA+dF898c8Tuz8RXoIdIkJv4EwWZuh2x4GFu1yG2DMUW1e0N
Se5tWeYnvRVb0yyR5gqOQEZn33G0IHioXpRFe8zOXVkquJai869zZi/0QOLTTuGojZSTwK2P3Ti7
MXLllpG3cNizbiq1P83gHEEzcpBZlSBQOYb3JRnQolak+GgM1qVeniJYuMg7FU3AwP7sG4hem5J5
jYHk6djj35QG32LdgFaLBEClDSc0e5vVUA4IkPXmaaLYdMASAqGEi7cRADUx9FWUqSedPB43paaB
4GFSaoINCrskOdfwd8aExJag4NKywDSRKUfjiIGwCvk7SYdpXlk6jeVyVekqcqxy+M3qyGHsvjm3
ciYjTon5qOdU1UlSgNEqtA5LewsLS0ChUYxugIM2GzmnW7O5jNge9SuzltZmYCVL08+OHLKtfBLn
WmjCHnfM4D9QyqdyTKcK+sMUBLcLZIWbt+WY+LvncgxaoY6YhwKU/9kE7mc5pn2yFNAcBtY72hOW
/3kOAvxSdhiPkB5DD1B0iqS/5yCPRRhiI7osQCrWv1OO4ThHufV6DgL3wBI2y8iFcSu/zEEUJvlN
VJrZeV/K9DtaxCX1XG+RQ+hWPug+aPdCjkru5DM+hHwsxwk9fp6t6Aivuew2SNzqFCoDgzZNKy5D
+jgro2+qTRe5+UNewzO3hOymH1sDiHQFbnsO0gxiAD3586pM6rMiDPU7STbrheKqhj2lsRFTDLrp
JoL99GBL/gUzeEy2FZQi0A7qlqNtJtcojBp3cQsev1ON5rSufAtaYpoVE6uRooViYPGmNTIwNq1S
d5nRxLeGHKcrz4DXl+ZutW2x+pv7MjpWVom6lRV25TGqIfnnTmjAYjjCsN3LZy0GJdiYSNie32dQ
bfRjBcHToV+gydAsUZhopJ3uOaG/wTyjKZgoVGl5Zvl07y1P6f1LH8khlAYbpP9GekJWt0FMFYFX
2dMhBWBRitACMbLNO4jrNHWDY1Mi6Zwg9j98C1u1wAAIOyAHtOed2cXadpAsI0MHxUwXTFON9dBA
e6u7bCQFNxi4pGogY9qKdWTgKQ7anK33jScpmGLfPm7dyh93ZtDfllKxSL1gLVkMqxOFFnNnIEgs
5Z0H5FxphmVEckwHqh5OoqyHZ1Y7ERyKJEPLI+i8YFElNaEFSAhzjqi40a0A2oSjXGv0y1a5RNLk
y107MWDdYRBcmZe2nydHtVQ717lcmBt8CORZoorqWq0NxGsrOWEYEDvfJKuT1lpcW5O8T87wOpBm
Zd1CvJLgaMy7uCjqWe8GkCmlrDoacje9YBgJ65Cm8VePNhSlFKKMPV32EytE7rWiX3+nuHi+daMQ
WojG7G5seumYhxeCmJV2Z0Bg3Vt7TLrrVKiGNlkPpDXo83Nf6I2mGGjFs1TX2wqtAR2iaej4eNP3
RjUDO4uAlUfutVJbumEm0I1YW1t9p32GOWPj8JmZyi4XGq2FABI6tNomkMGM/8TiH60xAtPvY/FV
A7hv9zYSG/zVcyRWLPzP8DcDj2cgza8RU58jMT0zsMsISxmPnmkvG2PmJzSnLQs8O42rp2H1c2MM
dSnaVwZ4d/BWCvKM/04kfiuxSEeOSC9zD8R7JKs4RF42xpBlkouUYd5mpBtAOt985aHy0cBnD8gt
EkJlLGZ8+AVl7mmAuN7MUDqsfNP2PKmyIwvG1qQifNBqKdCcC47pB58OFk2BDGi2LEcPLXMReIIt
/Q8JgKnbqadYDiNBIpveNKkE1Uu+6dg/aqXfklKD//MdfeEKbqQjjYtYlyTkiHxoonA28emF/piH
Xww7/ZoP2XXrBxCBalI11zS/lAXdJLhitSPduCmiSKg5AMQ9bSP/pM6Cr1VmoyzuWOcMm+5jx7Pn
CR8MrCxOG8hkrBsluyN1G+ZobTBTr2k6F3GHtkZ3Pah5OffqbqHroHXVUOumehfENPzsh8KHV2rH
5klVx1cdLgJTG4ssI7IvssB5APZ1HhjCUJ1pPvE3rOduRzjO21s5Su8R6btzC/WsytJ7TnUwulHp
zRsK6VVFF4zTaCVs4vXQ+xqrMH/z2M5nnUmDsMuz+05xaOVjDZUM9DByVRtnA35Mi6BoyylH+Uld
RetCd0+Q356NQV4i19wt5LJDTtJZCVEbnKCw0w53VlJeaehAQYa+TbwRsqo4M/iSHLk0Jl2HYx71
RwHkszA/m2116jv99zh0KEnBMmayK0+bMsQfVFZvdM+40Gvc8+wgutI99Xujmu3REIg/N5BK17Xm
NpEQdcp8NDcNc9HUSPS4TR0uTTO+gxoQLdS8gU1kyLBd0SgsRGdE1iVRXSxki44FIXRZ1H6GAwCS
PU3OtwYOqZuqhglzmAl3gXKSiXPf0q1Qb0ageo3zgzcrQxjtRjdeWLGx7FJj0RR6MdVHemReBLhT
rnsOImrxWdzwxBmcCVN75CEeKr7DRM29eVeOl8iN8a6pjdROu3Dl5nK0tXXQATqwVHyqq8L1Zl4c
ognURPd11t/aeIZQT+ffZCXD0Tpzp2WHfGcnB3AESmiEkr+SUymcSRbYc1nOluYgLxU5aKZIljkr
zG2HidbauyQsTpiStXC5w3yOW8SR6Q0D7V8YjOj2XmeFAf4f+B1PYzIxtfpbJXJ/uVTMiT4CxcPc
Qz3WUzovPcIT3lGsOr42i6LuRrWjsp2XUuUHX1gGtz5TawuIvRkY2sJ0Ezm9sho01GcIAtEhdsq4
8qdIr1vn+H4EJvUfqjVa0Xt3QZPPq5hHaCLsajZ5VTHzN/Eh6HrmQh5pnuNd+oUsBLyM/jOKamtQ
jgFmqlar0QPDSH7W2xjlHTWWjBxXESA1M4UyGidoeGpAkGOgkmZf4EmkqbdRJ8vBaZzmgqIf+9AY
Tete9vCtm0YI9yfjBCafg5RApBsFRb9qeVdybcXVneq2HoNJbVTRlJIT0/2KXhh9JhlDO2kSOz2d
nP8AuB4BXAacqd8fl1+wvG72geHFn/08L20GP6pKViMraKbYTItenZdCPcfQnR/0sOdBkv4Jw0YV
cJfuMIF6HO88n5faJ/qQKtMnTVDBxI/+jUGSOA1f1S2OxTEuJlyWYuAN9gsUvpclry3LlNNSHAzU
KcAGAewkT/nUb/WIYKm9fSNI1bqOVJCsqrKo7V4eywps5MIM9ZymtuFcR34hmXhqx8O4slGIguJb
p41+hPjUeAl+EjyQqSAfYjN2yrPQXpdAt44VSyTIVmn058iZX2hDxoDHHDyrOm6jsNK+tgRyG/pl
0bYQKlGKbfGwm5j4iZ51+HQq8yDPM3WODn0DKVZCY24SVC7a49HgzA16B/KsSu+NWO82FoOzM71h
aj5V8igeFpnba1g3N8DYEWyEktVl2pncKkZ00sbhWVmjmJbkWGn5zrmmyDujyh9S+mnk4lcWalZp
py0NyUQFGEwRlOxg7sCCcRKQLcmRO6C1oUUJKrelMouH4rtv+xcwqzaKmn9vtPYSP2+ahWDp76yI
MsMBnH4qWXkJBNsw13HgnOZoUMzHUa3otEvadz2s4MG6iCakdZHPkSUsJoyTDGog+xTU06ZKQa6P
qt3SrR7VZZ1a14Mi3cYqkhlZ6IMerWtPtSb0In0eC3qVJGPBHOAhlwAeq0RmeV3qtdbPTDv1Lyqo
u/PGQuvY6eX+Vo+DgVVEqWtSRUhL6FIJJgkGdmHWkM0kJGde7L09ZEP1DZ8RwSGKfSREyTRFdvr6
ESuGsvA8CIAbemdboFHKJeS1CdC0ab1KV4z5gd7OqaPn5Zzm41pfaHMA3NPonzzrjzbxf+8pVAU0
yxJzXoa2JLu04l7fh9HDuEJiJNswlVgPMc5lkVe4jGRopNpW5MyL1gXBpJocaNitnnpW6a4VviMz
KoDPWcPGcXGlttXxa91nzqJSYWPUdb5w7fGrZeC0G7r4S7hjf1PEAJbUssBbuoKZ0HcuyA0fOI/h
93OQlEu0RtDYQxBEt120BZzVqAF3UNWlrhsI29QlD4WjT+FprPCkmGUgFCaZnM+7zjtRIXEz3ACs
jIH4JElCCCNY03e9oy0LL4QSoXnXHmLjYCFOmQrJQqFmKUc8aJZTAMaSw8s/f8Wvg8ijXgNTKLCm
usPoW3N+CSLOSP2eJ265kdskXBIIYO+UtCWlwJ8bWaBP9MLb/vkt1dednbfv+cu3KfW0RtrIqzaF
p93hgDcF4Z7Nxspa6UkD48wF72QyCLYg3xkxOjWGng4nY9kgSScZJ1lg38oBLQsIEt85q+lEF6dq
Zn6W3fHe8IqvSRcUyK0U+f8bp7of0iazbb2dpzixDJ+bXTlc7CryqOr5rBI/Pc/wL7rK/m+/9OcL
/cXRzDtfDfnuv/9r+4ByxSyo6jK4r19WtwaF6ovH4ec9Pd7wny4Rb7l688C1NaREDN2ku4iFuHgR
deKMds/TjwljzidgJByvoFsfX49v+GKNfrcKf/6AT8v559/5/ScQ9fzjAh09/Pd/PXUGBH78Varz
eF//ZCW4zouloBFL0Q3qXEgc8uKKr5fCQltFk9nCLBLv9dEWQdz2wYvAZ6TDAcUar1XxIoa9WgRc
ElWAQ5ZoEX/ANQAXSIQ78EGwP6nklfhw8GiJFzH1zRrQeQct91EXQYYzevAiMJBAk4zD6vH1Zjc4
n8gTECCynoqMj7YbRPJy8CI40H0dgBcKVxMvETBeRkd2A5Zy8FF+DIk+4CI8xaqnUudfPSFex0WE
L9nvMuXPr59e5hEQtSGa++L1McMiX93BIQFKkiXScpWW7OPrTVjUeVJ0jbD4YUPC040d8iDQH8eb
iLj3m5AgxFNJJpCF+ahPwo9v55BFsJCBRasNUNr+uIi4LPQIB04ZCNePvCk41Q4+IsAYq/R5GIyI
15voCNLYFvFTf9qAHzA6UoIdvAiU7A6ze7wDxOvXc5IjQsGZxKB39vheH3ARCGYHLwICSaah/kga
RR76+pzkpBBzLaAFj0/KR40PyuFBErEPGU0q2foRJH9dCsUGme+Y+DB92Ofh6cYOCZLMS5mFGrRm
nzbFm0UgecQqB+nLpw34ATfF4aUUx6WQOkPk6NfdQEhgCG1pYjDNzvt4n15ozhwWEmBqMxJXdFr9
v356/RPdb+bsNP8fXx91DQ7PnFWiHnx1cAGPUe9NIakYnxAZYpuQXovXRw2Lggh02OOgmZ+Q0nsc
+uxfCnJHxsoIKH3YxoJyeMJkfNKsx/z56eve12wTyQQSUU9H8gcMDIc/Cc4nCiX4l5SNj683WaOK
O4OhIMvwUbNG5fDGgvmJ75gek04L90cQfJUwibYrP6OS+rBPwtO3c0CWwBGh014SZn6/iQnUD/xY
B1r1Uc+Iw1Nn/RNKQJDqn5+EX+sH8kUE5+jAsGXE66OeET/KmwOeB84IykmSIutHt42P+mpTUFrD
GUVmT0jefcy86fCsEXyihd6sIf+opX59HqgnQS2yJUSl+SEXQT04eWQqxbfMcwBz+fmhf/UkEB5x
wraAfQCXFK+PuhSHxwda0Ca8a4Qln5bizTBC+STsgsRM+aMuwuGJNGx2UU5bmDbtfR5UUEUM1jVM
mz7qIhycPdKD1p1HYDAEfPF6U1jJnwwQJDr540ddhMPDoy0ce0Un6ce8et92EEBsFC6fXh91KQ7P
IUkMmL79bES/GdUSJFUE0h1i5AddBKHHdmBdyUGASDudxx+dJvb/q5OCnIEEEji9sC75kMeloCAc
uAganAYZC8MfZeXbupKhBU16iokP+yQc3ni1YW8wssap4Gnjv3kSRPwU/6MCF6+PmkgLJ8oDnwdh
AgSAkFz6ZxB8vSlYClmVac991JxBOCMcuAi0GRnNK7b2o8/w60kBEwjxGVQpP+yeOLzXQgMSapJB
E/KXsMiHx7kVA/nnR+RfD47/QlPqJ0wON8L44REgh3rfPhzd737hGRn29ucvkF+P+LdXvykAc09v
/jeA7h+v8HPqY7f9xU+fu++P7/Tj7398xLdv/urNnj/X8z+ugl25Le/94fEHw48b3WwTcHb/E/N/
D9tfcWsiqX3+tz1gv5dB8c9Xz4N9ilACBvT3R/0FSfgvXzzZPmTl84X+RtyJAHrwxXFFr3fP13lx
bW7u4GtPt/G25Supnq/14voEg8OvjxBX9eYrpUwjdr3DxdO6xEEu26uxK2iBB7/FbBf/tcnKvevP
uXDw9efxX7Os5OF5vtaL9edwPvj6i3JXpfsuTrA7+OLLeJemz9d5cePvsV1XTfItix/qt5cXc7eD
b/0oyXdlsI2fL/X33SvvsWWP0mHPoovJ+cF3frwr96y5KGcPv3SQensCgWjlH3ztk220J4aJ0fY7
XLqqdvvW5D026ElW/fU/qbeLd/tW5j226On2gQD8vA4vHsT32KKn23Kf07doDh+87uLa6C3tuXXR
3Tz88rv0IbsP9kUvgZ17h+uX97uH5wv9ve4C/3b4xTPu/fk6L679Htv0NNu7Ju+xS7l0vSt3w547
f4+dutnm+56W99inm127fZs7AnV/jy16Vm4JAXsW5T226Hm8vd/tyR3V99ij50hE7UvuRFfp4If8
IiB1rIKHPSsjGjYHX/9ye19SEqT1nrNUe49deonH42QHhX3fG7zHVn16gzLdlg97A5ko4d9hmdK/
ZsHO2/ch3mPXig+xYAfcB9X9vvd4j+0r3mOdbYtm32mlvcceFu9w0gTVX2ffgirf9zneYzOLd/mT
a+jvKGs8zT9bOX+qYrk+ntmTbfltv0Xbe2zrp/eY/sEE7n0+xR+cvw9+gz/5rhx8cXoY+xI2/V02
85+10g6+9yze7sseRJPz8EBEYpLsOeD1d9m/9TYNqnjb7MnDhevs4Xcv2ix7zmEhmHDwxa92/nbf
0hjvsWExz+MM25O0CX784bf+J8WoQ5/Hf6LUfujl/yzfcejV73BfeF7gv3N8oeN+8KLfNd/2bCTj
n+/SfW3Zn+jpt83aZ47xvj973YsWv3Ef77blP/4XAAD//w==</cx:binary>
              </cx:geoCache>
            </cx:geography>
          </cx:layoutPr>
          <cx:valueColors>
            <cx:minColor>
              <a:srgbClr val="EFDBEE"/>
            </cx:minColor>
            <cx:maxColor>
              <a:srgbClr val="EF5BDD"/>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emf"/><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microsoft.com/office/2014/relationships/chartEx" Target="../charts/chartEx2.xml"/><Relationship Id="rId4" Type="http://schemas.openxmlformats.org/officeDocument/2006/relationships/chart" Target="../charts/chart2.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645400"/>
        </a:xfrm>
        <a:prstGeom prst="rect">
          <a:avLst/>
        </a:prstGeom>
        <a:solidFill>
          <a:srgbClr val="9FBFAD"/>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mn-lt"/>
            </a:rPr>
            <a:t>  </a:t>
          </a:r>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74761" cy="7845380"/>
        </a:xfrm>
        <a:prstGeom prst="rect">
          <a:avLst/>
        </a:prstGeom>
        <a:solidFill>
          <a:srgbClr val="3D3F41"/>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1625</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xdr:from>
      <xdr:col>0</xdr:col>
      <xdr:colOff>209371</xdr:colOff>
      <xdr:row>3</xdr:row>
      <xdr:rowOff>25714</xdr:rowOff>
    </xdr:from>
    <xdr:to>
      <xdr:col>3</xdr:col>
      <xdr:colOff>0</xdr:colOff>
      <xdr:row>20</xdr:row>
      <xdr:rowOff>170454</xdr:rowOff>
    </xdr:to>
    <xdr:grpSp>
      <xdr:nvGrpSpPr>
        <xdr:cNvPr id="38" name="Group 37">
          <a:extLst>
            <a:ext uri="{FF2B5EF4-FFF2-40B4-BE49-F238E27FC236}">
              <a16:creationId xmlns:a16="http://schemas.microsoft.com/office/drawing/2014/main" id="{788EF634-05AD-5332-78AD-0FFD16E742EA}"/>
            </a:ext>
          </a:extLst>
        </xdr:cNvPr>
        <xdr:cNvGrpSpPr/>
      </xdr:nvGrpSpPr>
      <xdr:grpSpPr>
        <a:xfrm>
          <a:off x="209371" y="582560"/>
          <a:ext cx="1764014" cy="3300202"/>
          <a:chOff x="172323" y="725714"/>
          <a:chExt cx="1815618" cy="3178842"/>
        </a:xfrm>
      </xdr:grpSpPr>
      <xdr:sp macro="" textlink="'Summary &amp; Trends'!G4">
        <xdr:nvSpPr>
          <xdr:cNvPr id="5" name="TextBox 4">
            <a:extLst>
              <a:ext uri="{FF2B5EF4-FFF2-40B4-BE49-F238E27FC236}">
                <a16:creationId xmlns:a16="http://schemas.microsoft.com/office/drawing/2014/main" id="{6350618B-563C-AE69-753D-AFBCAF8B68FF}"/>
              </a:ext>
            </a:extLst>
          </xdr:cNvPr>
          <xdr:cNvSpPr txBox="1"/>
        </xdr:nvSpPr>
        <xdr:spPr>
          <a:xfrm>
            <a:off x="172323" y="961118"/>
            <a:ext cx="885267" cy="27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37CB55-0E8E-4BCF-9384-8F5084B72162}" type="TxLink">
              <a:rPr lang="en-US" sz="2000" b="1"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rPr>
              <a:pPr algn="ctr"/>
              <a:t>2,400</a:t>
            </a:fld>
            <a:endParaRPr lang="en-IN" sz="2000" b="1">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endParaRPr>
          </a:p>
        </xdr:txBody>
      </xdr:sp>
      <xdr:sp macro="" textlink="'Summary &amp; Trends'!H4">
        <xdr:nvSpPr>
          <xdr:cNvPr id="7" name="TextBox 6">
            <a:extLst>
              <a:ext uri="{FF2B5EF4-FFF2-40B4-BE49-F238E27FC236}">
                <a16:creationId xmlns:a16="http://schemas.microsoft.com/office/drawing/2014/main" id="{EFE0A3B2-BF77-4FEC-BEF7-4D31D32E6959}"/>
              </a:ext>
            </a:extLst>
          </xdr:cNvPr>
          <xdr:cNvSpPr txBox="1"/>
        </xdr:nvSpPr>
        <xdr:spPr>
          <a:xfrm>
            <a:off x="172323" y="1593656"/>
            <a:ext cx="1066696" cy="447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46E62A-79D0-4307-B022-9B9CF3F036D7}" type="TxLink">
              <a:rPr lang="en-US" sz="2000" b="1"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11,997</a:t>
            </a:fld>
            <a:endParaRPr lang="en-IN" sz="2000" b="1"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sp macro="" textlink="'Summary &amp; Trends'!I4">
        <xdr:nvSpPr>
          <xdr:cNvPr id="8" name="TextBox 7">
            <a:extLst>
              <a:ext uri="{FF2B5EF4-FFF2-40B4-BE49-F238E27FC236}">
                <a16:creationId xmlns:a16="http://schemas.microsoft.com/office/drawing/2014/main" id="{8D130663-A7CE-4F2C-A40F-ED7A8CDAC5F5}"/>
              </a:ext>
            </a:extLst>
          </xdr:cNvPr>
          <xdr:cNvSpPr txBox="1"/>
        </xdr:nvSpPr>
        <xdr:spPr>
          <a:xfrm>
            <a:off x="172323" y="2284445"/>
            <a:ext cx="1562865" cy="381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4092FF-6CF4-4DE1-AAB1-804B8C7AF71A}" type="TxLink">
              <a:rPr lang="en-US" sz="2000" b="1" i="0" u="none" strike="noStrike">
                <a:solidFill>
                  <a:srgbClr val="FFCC00"/>
                </a:solidFill>
                <a:effectLst>
                  <a:outerShdw blurRad="50800" dist="38100" dir="2700000" algn="tl" rotWithShape="0">
                    <a:prstClr val="black">
                      <a:alpha val="40000"/>
                    </a:prstClr>
                  </a:outerShdw>
                </a:effectLst>
                <a:latin typeface="Aptos Narrow"/>
                <a:ea typeface="+mn-ea"/>
                <a:cs typeface="+mn-cs"/>
              </a:rPr>
              <a:pPr marL="0" indent="0"/>
              <a:t>$649.0k</a:t>
            </a:fld>
            <a:endParaRPr lang="en-IN" sz="2000" b="1" i="0" u="none" strike="noStrike">
              <a:solidFill>
                <a:srgbClr val="FFCC00"/>
              </a:solidFill>
              <a:effectLst>
                <a:outerShdw blurRad="50800" dist="38100" dir="2700000" algn="tl" rotWithShape="0">
                  <a:prstClr val="black">
                    <a:alpha val="40000"/>
                  </a:prstClr>
                </a:outerShdw>
              </a:effectLst>
              <a:latin typeface="Aptos Narrow"/>
              <a:ea typeface="+mn-ea"/>
              <a:cs typeface="+mn-cs"/>
            </a:endParaRPr>
          </a:p>
        </xdr:txBody>
      </xdr:sp>
      <xdr:sp macro="" textlink="'Summary &amp; Trends'!J4">
        <xdr:nvSpPr>
          <xdr:cNvPr id="9" name="TextBox 8">
            <a:extLst>
              <a:ext uri="{FF2B5EF4-FFF2-40B4-BE49-F238E27FC236}">
                <a16:creationId xmlns:a16="http://schemas.microsoft.com/office/drawing/2014/main" id="{D63AFE1A-D7B5-4D86-927B-EA271FAD741C}"/>
              </a:ext>
            </a:extLst>
          </xdr:cNvPr>
          <xdr:cNvSpPr txBox="1"/>
        </xdr:nvSpPr>
        <xdr:spPr>
          <a:xfrm>
            <a:off x="188787" y="3086089"/>
            <a:ext cx="528674" cy="223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151E2A-4FB7-40B8-A289-0EBB49479B73}" type="TxLink">
              <a:rPr lang="en-US" sz="2000" b="1"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ctr"/>
              <a:t>4.0</a:t>
            </a:fld>
            <a:endParaRPr lang="en-IN" sz="2000" b="1"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sp macro="" textlink="'Summary &amp; Trends'!K4">
        <xdr:nvSpPr>
          <xdr:cNvPr id="10" name="TextBox 9">
            <a:extLst>
              <a:ext uri="{FF2B5EF4-FFF2-40B4-BE49-F238E27FC236}">
                <a16:creationId xmlns:a16="http://schemas.microsoft.com/office/drawing/2014/main" id="{8368881D-B330-456F-A124-FB9D7F87C2FD}"/>
              </a:ext>
            </a:extLst>
          </xdr:cNvPr>
          <xdr:cNvSpPr txBox="1"/>
        </xdr:nvSpPr>
        <xdr:spPr>
          <a:xfrm>
            <a:off x="188787" y="3737649"/>
            <a:ext cx="574394" cy="166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A0E14F-5CBC-498C-A6A6-23C6B10340E6}" type="TxLink">
              <a:rPr lang="en-US" sz="2000" b="1"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ctr"/>
              <a:t>2.3</a:t>
            </a:fld>
            <a:endParaRPr lang="en-IN" sz="2000" b="1"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sp macro="" textlink="">
        <xdr:nvSpPr>
          <xdr:cNvPr id="11" name="TextBox 10">
            <a:extLst>
              <a:ext uri="{FF2B5EF4-FFF2-40B4-BE49-F238E27FC236}">
                <a16:creationId xmlns:a16="http://schemas.microsoft.com/office/drawing/2014/main" id="{FB14C372-D0D9-8B44-92B9-3F7ED481F715}"/>
              </a:ext>
            </a:extLst>
          </xdr:cNvPr>
          <xdr:cNvSpPr txBox="1"/>
        </xdr:nvSpPr>
        <xdr:spPr>
          <a:xfrm>
            <a:off x="172323" y="725714"/>
            <a:ext cx="1005195" cy="260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a:solidFill>
                  <a:schemeClr val="bg1"/>
                </a:solidFill>
              </a:rPr>
              <a:t>🛒</a:t>
            </a:r>
            <a:r>
              <a:rPr lang="en-IN" sz="1300">
                <a:solidFill>
                  <a:schemeClr val="bg1"/>
                </a:solidFill>
              </a:rPr>
              <a:t>Orders</a:t>
            </a:r>
          </a:p>
        </xdr:txBody>
      </xdr:sp>
      <xdr:sp macro="" textlink="">
        <xdr:nvSpPr>
          <xdr:cNvPr id="12" name="TextBox 11">
            <a:extLst>
              <a:ext uri="{FF2B5EF4-FFF2-40B4-BE49-F238E27FC236}">
                <a16:creationId xmlns:a16="http://schemas.microsoft.com/office/drawing/2014/main" id="{EEDD5CAF-6AD2-4E8F-960E-D7B42E3BA3F8}"/>
              </a:ext>
            </a:extLst>
          </xdr:cNvPr>
          <xdr:cNvSpPr txBox="1"/>
        </xdr:nvSpPr>
        <xdr:spPr>
          <a:xfrm>
            <a:off x="172323" y="1367362"/>
            <a:ext cx="1106237" cy="264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a:solidFill>
                  <a:schemeClr val="bg1"/>
                </a:solidFill>
              </a:rPr>
              <a:t>👕</a:t>
            </a:r>
            <a:r>
              <a:rPr lang="en-IN" sz="1300">
                <a:solidFill>
                  <a:schemeClr val="bg1"/>
                </a:solidFill>
              </a:rPr>
              <a:t>Quantity</a:t>
            </a:r>
          </a:p>
        </xdr:txBody>
      </xdr:sp>
      <xdr:sp macro="" textlink="">
        <xdr:nvSpPr>
          <xdr:cNvPr id="13" name="TextBox 12">
            <a:extLst>
              <a:ext uri="{FF2B5EF4-FFF2-40B4-BE49-F238E27FC236}">
                <a16:creationId xmlns:a16="http://schemas.microsoft.com/office/drawing/2014/main" id="{0B3CA783-4643-4113-9D65-079478F1B1B6}"/>
              </a:ext>
            </a:extLst>
          </xdr:cNvPr>
          <xdr:cNvSpPr txBox="1"/>
        </xdr:nvSpPr>
        <xdr:spPr>
          <a:xfrm>
            <a:off x="172323" y="2077968"/>
            <a:ext cx="1005195" cy="266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a:solidFill>
                  <a:schemeClr val="bg1"/>
                </a:solidFill>
              </a:rPr>
              <a:t>💰</a:t>
            </a:r>
            <a:r>
              <a:rPr lang="en-IN" sz="1300">
                <a:solidFill>
                  <a:schemeClr val="bg1"/>
                </a:solidFill>
              </a:rPr>
              <a:t>Amount</a:t>
            </a:r>
          </a:p>
        </xdr:txBody>
      </xdr:sp>
      <xdr:sp macro="" textlink="">
        <xdr:nvSpPr>
          <xdr:cNvPr id="14" name="TextBox 13">
            <a:extLst>
              <a:ext uri="{FF2B5EF4-FFF2-40B4-BE49-F238E27FC236}">
                <a16:creationId xmlns:a16="http://schemas.microsoft.com/office/drawing/2014/main" id="{CCE6DACF-64F5-42EF-99D1-FAE2394C2825}"/>
              </a:ext>
            </a:extLst>
          </xdr:cNvPr>
          <xdr:cNvSpPr txBox="1"/>
        </xdr:nvSpPr>
        <xdr:spPr>
          <a:xfrm>
            <a:off x="172323" y="2776132"/>
            <a:ext cx="1224119" cy="27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a:solidFill>
                  <a:schemeClr val="bg1"/>
                </a:solidFill>
              </a:rPr>
              <a:t>⭐Avg. Rating</a:t>
            </a:r>
            <a:endParaRPr lang="en-IN" sz="1300">
              <a:solidFill>
                <a:schemeClr val="bg1"/>
              </a:solidFill>
            </a:endParaRPr>
          </a:p>
        </xdr:txBody>
      </xdr:sp>
      <xdr:sp macro="" textlink="">
        <xdr:nvSpPr>
          <xdr:cNvPr id="15" name="TextBox 14">
            <a:extLst>
              <a:ext uri="{FF2B5EF4-FFF2-40B4-BE49-F238E27FC236}">
                <a16:creationId xmlns:a16="http://schemas.microsoft.com/office/drawing/2014/main" id="{D065F272-DDE2-436F-9FDF-A14889071049}"/>
              </a:ext>
            </a:extLst>
          </xdr:cNvPr>
          <xdr:cNvSpPr txBox="1"/>
        </xdr:nvSpPr>
        <xdr:spPr>
          <a:xfrm>
            <a:off x="172323" y="3380180"/>
            <a:ext cx="1815618" cy="357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a:solidFill>
                  <a:schemeClr val="bg1"/>
                </a:solidFill>
              </a:rPr>
              <a:t>📅Avg.</a:t>
            </a:r>
            <a:r>
              <a:rPr lang="en-US" sz="1300" baseline="0">
                <a:solidFill>
                  <a:schemeClr val="bg1"/>
                </a:solidFill>
              </a:rPr>
              <a:t> </a:t>
            </a:r>
            <a:r>
              <a:rPr lang="en-US" sz="1300">
                <a:solidFill>
                  <a:schemeClr val="bg1"/>
                </a:solidFill>
              </a:rPr>
              <a:t>Days to Deliver</a:t>
            </a:r>
            <a:endParaRPr lang="en-IN" sz="1300">
              <a:solidFill>
                <a:schemeClr val="bg1"/>
              </a:solidFill>
            </a:endParaRPr>
          </a:p>
        </xdr:txBody>
      </xdr:sp>
    </xdr:grpSp>
    <xdr:clientData/>
  </xdr:twoCellAnchor>
  <xdr:twoCellAnchor>
    <xdr:from>
      <xdr:col>4</xdr:col>
      <xdr:colOff>70485</xdr:colOff>
      <xdr:row>1</xdr:row>
      <xdr:rowOff>173506</xdr:rowOff>
    </xdr:from>
    <xdr:to>
      <xdr:col>11</xdr:col>
      <xdr:colOff>0</xdr:colOff>
      <xdr:row>11</xdr:row>
      <xdr:rowOff>118055</xdr:rowOff>
    </xdr:to>
    <xdr:graphicFrame macro="">
      <xdr:nvGraphicFramePr>
        <xdr:cNvPr id="16" name="Chart 15">
          <a:extLst>
            <a:ext uri="{FF2B5EF4-FFF2-40B4-BE49-F238E27FC236}">
              <a16:creationId xmlns:a16="http://schemas.microsoft.com/office/drawing/2014/main" id="{7B33C5E8-E4C2-4053-9367-FB5AFDBDC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88900</xdr:colOff>
      <xdr:row>1</xdr:row>
      <xdr:rowOff>133350</xdr:rowOff>
    </xdr:from>
    <xdr:to>
      <xdr:col>19</xdr:col>
      <xdr:colOff>0</xdr:colOff>
      <xdr:row>12</xdr:row>
      <xdr:rowOff>0</xdr:rowOff>
    </xdr:to>
    <xdr:sp macro="" textlink="">
      <xdr:nvSpPr>
        <xdr:cNvPr id="21" name="Rectangle 20">
          <a:extLst>
            <a:ext uri="{FF2B5EF4-FFF2-40B4-BE49-F238E27FC236}">
              <a16:creationId xmlns:a16="http://schemas.microsoft.com/office/drawing/2014/main" id="{50E26FE1-8F57-D0EE-71EB-9B635EC9EB2D}"/>
            </a:ext>
          </a:extLst>
        </xdr:cNvPr>
        <xdr:cNvSpPr/>
      </xdr:nvSpPr>
      <xdr:spPr>
        <a:xfrm>
          <a:off x="8150860" y="316230"/>
          <a:ext cx="5031740" cy="187833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How they like to buy?</a:t>
          </a:r>
        </a:p>
      </xdr:txBody>
    </xdr:sp>
    <xdr:clientData/>
  </xdr:twoCellAnchor>
  <mc:AlternateContent xmlns:mc="http://schemas.openxmlformats.org/markup-compatibility/2006">
    <mc:Choice xmlns:a14="http://schemas.microsoft.com/office/drawing/2010/main" Requires="a14">
      <xdr:twoCellAnchor editAs="oneCell">
        <xdr:from>
          <xdr:col>13</xdr:col>
          <xdr:colOff>36286</xdr:colOff>
          <xdr:row>4</xdr:row>
          <xdr:rowOff>36286</xdr:rowOff>
        </xdr:from>
        <xdr:to>
          <xdr:col>18</xdr:col>
          <xdr:colOff>0</xdr:colOff>
          <xdr:row>11</xdr:row>
          <xdr:rowOff>864</xdr:rowOff>
        </xdr:to>
        <xdr:pic>
          <xdr:nvPicPr>
            <xdr:cNvPr id="20" name="Picture 19">
              <a:extLst>
                <a:ext uri="{FF2B5EF4-FFF2-40B4-BE49-F238E27FC236}">
                  <a16:creationId xmlns:a16="http://schemas.microsoft.com/office/drawing/2014/main" id="{CB381856-4545-D31E-98B7-0DAD1082DC9B}"/>
                </a:ext>
              </a:extLst>
            </xdr:cNvPr>
            <xdr:cNvPicPr>
              <a:picLocks noChangeAspect="1" noChangeArrowheads="1"/>
              <a:extLst>
                <a:ext uri="{84589F7E-364E-4C9E-8A38-B11213B215E9}">
                  <a14:cameraTool cellRange="Matrix!$H$4:$L$9" spid="_x0000_s1051"/>
                </a:ext>
              </a:extLst>
            </xdr:cNvPicPr>
          </xdr:nvPicPr>
          <xdr:blipFill>
            <a:blip xmlns:r="http://schemas.openxmlformats.org/officeDocument/2006/relationships" r:embed="rId3"/>
            <a:srcRect/>
            <a:stretch>
              <a:fillRect/>
            </a:stretch>
          </xdr:blipFill>
          <xdr:spPr bwMode="auto">
            <a:xfrm>
              <a:off x="8829766" y="767806"/>
              <a:ext cx="3621314" cy="124387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76201</xdr:colOff>
      <xdr:row>1</xdr:row>
      <xdr:rowOff>155575</xdr:rowOff>
    </xdr:from>
    <xdr:to>
      <xdr:col>24</xdr:col>
      <xdr:colOff>609601</xdr:colOff>
      <xdr:row>12</xdr:row>
      <xdr:rowOff>0</xdr:rowOff>
    </xdr:to>
    <xdr:graphicFrame macro="">
      <xdr:nvGraphicFramePr>
        <xdr:cNvPr id="22" name="Chart 21">
          <a:extLst>
            <a:ext uri="{FF2B5EF4-FFF2-40B4-BE49-F238E27FC236}">
              <a16:creationId xmlns:a16="http://schemas.microsoft.com/office/drawing/2014/main" id="{0DEF77EC-50A6-45D6-B84D-AB97A09CF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101600</xdr:colOff>
      <xdr:row>14</xdr:row>
      <xdr:rowOff>0</xdr:rowOff>
    </xdr:from>
    <xdr:to>
      <xdr:col>11</xdr:col>
      <xdr:colOff>0</xdr:colOff>
      <xdr:row>41</xdr:row>
      <xdr:rowOff>122463</xdr:rowOff>
    </xdr:to>
    <xdr:graphicFrame macro="">
      <xdr:nvGraphicFramePr>
        <xdr:cNvPr id="23" name="Chart 22">
          <a:extLst>
            <a:ext uri="{FF2B5EF4-FFF2-40B4-BE49-F238E27FC236}">
              <a16:creationId xmlns:a16="http://schemas.microsoft.com/office/drawing/2014/main" id="{A0F8A0CC-F3C7-4ECD-9D5D-A120379AC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489856</xdr:colOff>
      <xdr:row>28</xdr:row>
      <xdr:rowOff>81643</xdr:rowOff>
    </xdr:from>
    <xdr:to>
      <xdr:col>9</xdr:col>
      <xdr:colOff>108856</xdr:colOff>
      <xdr:row>40</xdr:row>
      <xdr:rowOff>115745</xdr:rowOff>
    </xdr:to>
    <xdr:graphicFrame macro="">
      <xdr:nvGraphicFramePr>
        <xdr:cNvPr id="26" name="Chart 25">
          <a:extLst>
            <a:ext uri="{FF2B5EF4-FFF2-40B4-BE49-F238E27FC236}">
              <a16:creationId xmlns:a16="http://schemas.microsoft.com/office/drawing/2014/main" id="{E32ACCC7-28D0-40CE-AFFA-EE7FE882A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58517</xdr:colOff>
      <xdr:row>14</xdr:row>
      <xdr:rowOff>0</xdr:rowOff>
    </xdr:from>
    <xdr:to>
      <xdr:col>18</xdr:col>
      <xdr:colOff>713618</xdr:colOff>
      <xdr:row>41</xdr:row>
      <xdr:rowOff>133049</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336659B9-38DC-42AA-85BA-D68841B9D2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20477" y="2560320"/>
              <a:ext cx="5044221" cy="50708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0</xdr:colOff>
      <xdr:row>14</xdr:row>
      <xdr:rowOff>0</xdr:rowOff>
    </xdr:from>
    <xdr:to>
      <xdr:col>24</xdr:col>
      <xdr:colOff>530679</xdr:colOff>
      <xdr:row>27</xdr:row>
      <xdr:rowOff>48241</xdr:rowOff>
    </xdr:to>
    <xdr:graphicFrame macro="">
      <xdr:nvGraphicFramePr>
        <xdr:cNvPr id="29" name="Chart 28">
          <a:extLst>
            <a:ext uri="{FF2B5EF4-FFF2-40B4-BE49-F238E27FC236}">
              <a16:creationId xmlns:a16="http://schemas.microsoft.com/office/drawing/2014/main" id="{7AC0E358-5CE1-44D1-ADE6-DEF0A4A2E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0</xdr:colOff>
      <xdr:row>28</xdr:row>
      <xdr:rowOff>0</xdr:rowOff>
    </xdr:from>
    <xdr:to>
      <xdr:col>24</xdr:col>
      <xdr:colOff>576941</xdr:colOff>
      <xdr:row>41</xdr:row>
      <xdr:rowOff>149679</xdr:rowOff>
    </xdr:to>
    <xdr:graphicFrame macro="">
      <xdr:nvGraphicFramePr>
        <xdr:cNvPr id="30" name="Chart 29">
          <a:extLst>
            <a:ext uri="{FF2B5EF4-FFF2-40B4-BE49-F238E27FC236}">
              <a16:creationId xmlns:a16="http://schemas.microsoft.com/office/drawing/2014/main" id="{F231E3A2-E5D7-4178-802C-82BA3863E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217714</xdr:colOff>
      <xdr:row>22</xdr:row>
      <xdr:rowOff>0</xdr:rowOff>
    </xdr:from>
    <xdr:to>
      <xdr:col>2</xdr:col>
      <xdr:colOff>0</xdr:colOff>
      <xdr:row>32</xdr:row>
      <xdr:rowOff>1256</xdr:rowOff>
    </xdr:to>
    <mc:AlternateContent xmlns:mc="http://schemas.openxmlformats.org/markup-compatibility/2006" xmlns:a14="http://schemas.microsoft.com/office/drawing/2010/main">
      <mc:Choice Requires="a14">
        <xdr:graphicFrame macro="">
          <xdr:nvGraphicFramePr>
            <xdr:cNvPr id="31" name="Order Mode">
              <a:extLst>
                <a:ext uri="{FF2B5EF4-FFF2-40B4-BE49-F238E27FC236}">
                  <a16:creationId xmlns:a16="http://schemas.microsoft.com/office/drawing/2014/main" id="{81C3B5A1-E2EA-471B-8AB4-CEA075BEF49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17714" y="3891643"/>
              <a:ext cx="1537607" cy="1770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xdr:colOff>
      <xdr:row>32</xdr:row>
      <xdr:rowOff>154216</xdr:rowOff>
    </xdr:from>
    <xdr:to>
      <xdr:col>2</xdr:col>
      <xdr:colOff>1</xdr:colOff>
      <xdr:row>42</xdr:row>
      <xdr:rowOff>1257</xdr:rowOff>
    </xdr:to>
    <mc:AlternateContent xmlns:mc="http://schemas.openxmlformats.org/markup-compatibility/2006" xmlns:a14="http://schemas.microsoft.com/office/drawing/2010/main">
      <mc:Choice Requires="a14">
        <xdr:graphicFrame macro="">
          <xdr:nvGraphicFramePr>
            <xdr:cNvPr id="32" name="Gender Value">
              <a:extLst>
                <a:ext uri="{FF2B5EF4-FFF2-40B4-BE49-F238E27FC236}">
                  <a16:creationId xmlns:a16="http://schemas.microsoft.com/office/drawing/2014/main" id="{328AB970-3333-4549-8A5E-82588A240CD5}"/>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231322" y="5814787"/>
              <a:ext cx="1524000" cy="1615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6</xdr:row>
      <xdr:rowOff>0</xdr:rowOff>
    </xdr:from>
    <xdr:to>
      <xdr:col>2</xdr:col>
      <xdr:colOff>0</xdr:colOff>
      <xdr:row>6</xdr:row>
      <xdr:rowOff>0</xdr:rowOff>
    </xdr:to>
    <xdr:cxnSp macro="">
      <xdr:nvCxnSpPr>
        <xdr:cNvPr id="40" name="Straight Connector 39">
          <a:extLst>
            <a:ext uri="{FF2B5EF4-FFF2-40B4-BE49-F238E27FC236}">
              <a16:creationId xmlns:a16="http://schemas.microsoft.com/office/drawing/2014/main" id="{C581581B-2962-E727-90A4-2942F1ECF296}"/>
            </a:ext>
          </a:extLst>
        </xdr:cNvPr>
        <xdr:cNvCxnSpPr/>
      </xdr:nvCxnSpPr>
      <xdr:spPr>
        <a:xfrm>
          <a:off x="225380" y="1094704"/>
          <a:ext cx="1524000" cy="0"/>
        </a:xfrm>
        <a:prstGeom prst="line">
          <a:avLst/>
        </a:prstGeom>
        <a:ln>
          <a:solidFill>
            <a:schemeClr val="accent3">
              <a:alpha val="40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xdr:col>
      <xdr:colOff>0</xdr:colOff>
      <xdr:row>10</xdr:row>
      <xdr:rowOff>0</xdr:rowOff>
    </xdr:from>
    <xdr:to>
      <xdr:col>2</xdr:col>
      <xdr:colOff>0</xdr:colOff>
      <xdr:row>10</xdr:row>
      <xdr:rowOff>0</xdr:rowOff>
    </xdr:to>
    <xdr:cxnSp macro="">
      <xdr:nvCxnSpPr>
        <xdr:cNvPr id="44" name="Straight Connector 43">
          <a:extLst>
            <a:ext uri="{FF2B5EF4-FFF2-40B4-BE49-F238E27FC236}">
              <a16:creationId xmlns:a16="http://schemas.microsoft.com/office/drawing/2014/main" id="{6B12AE7F-5128-4B60-A5F3-8CB65D27E313}"/>
            </a:ext>
          </a:extLst>
        </xdr:cNvPr>
        <xdr:cNvCxnSpPr/>
      </xdr:nvCxnSpPr>
      <xdr:spPr>
        <a:xfrm>
          <a:off x="225380" y="1824507"/>
          <a:ext cx="1524000" cy="0"/>
        </a:xfrm>
        <a:prstGeom prst="line">
          <a:avLst/>
        </a:prstGeom>
        <a:ln>
          <a:solidFill>
            <a:schemeClr val="accent3">
              <a:alpha val="44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xdr:col>
      <xdr:colOff>0</xdr:colOff>
      <xdr:row>14</xdr:row>
      <xdr:rowOff>0</xdr:rowOff>
    </xdr:from>
    <xdr:to>
      <xdr:col>2</xdr:col>
      <xdr:colOff>0</xdr:colOff>
      <xdr:row>14</xdr:row>
      <xdr:rowOff>0</xdr:rowOff>
    </xdr:to>
    <xdr:cxnSp macro="">
      <xdr:nvCxnSpPr>
        <xdr:cNvPr id="45" name="Straight Connector 44">
          <a:extLst>
            <a:ext uri="{FF2B5EF4-FFF2-40B4-BE49-F238E27FC236}">
              <a16:creationId xmlns:a16="http://schemas.microsoft.com/office/drawing/2014/main" id="{B33929E8-FA77-46E0-8EDE-A93796232549}"/>
            </a:ext>
          </a:extLst>
        </xdr:cNvPr>
        <xdr:cNvCxnSpPr/>
      </xdr:nvCxnSpPr>
      <xdr:spPr>
        <a:xfrm>
          <a:off x="225380" y="2554310"/>
          <a:ext cx="1524000" cy="0"/>
        </a:xfrm>
        <a:prstGeom prst="line">
          <a:avLst/>
        </a:prstGeom>
        <a:ln>
          <a:solidFill>
            <a:schemeClr val="accent3">
              <a:alpha val="44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xdr:col>
      <xdr:colOff>0</xdr:colOff>
      <xdr:row>18</xdr:row>
      <xdr:rowOff>0</xdr:rowOff>
    </xdr:from>
    <xdr:to>
      <xdr:col>2</xdr:col>
      <xdr:colOff>0</xdr:colOff>
      <xdr:row>18</xdr:row>
      <xdr:rowOff>0</xdr:rowOff>
    </xdr:to>
    <xdr:cxnSp macro="">
      <xdr:nvCxnSpPr>
        <xdr:cNvPr id="46" name="Straight Connector 45">
          <a:extLst>
            <a:ext uri="{FF2B5EF4-FFF2-40B4-BE49-F238E27FC236}">
              <a16:creationId xmlns:a16="http://schemas.microsoft.com/office/drawing/2014/main" id="{46E6A074-6525-4DE9-A9B9-C231FB7916E5}"/>
            </a:ext>
          </a:extLst>
        </xdr:cNvPr>
        <xdr:cNvCxnSpPr/>
      </xdr:nvCxnSpPr>
      <xdr:spPr>
        <a:xfrm>
          <a:off x="225380" y="3284113"/>
          <a:ext cx="1524000" cy="0"/>
        </a:xfrm>
        <a:prstGeom prst="line">
          <a:avLst/>
        </a:prstGeom>
        <a:ln>
          <a:solidFill>
            <a:schemeClr val="accent3">
              <a:alpha val="44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xdr:col>
      <xdr:colOff>0</xdr:colOff>
      <xdr:row>21</xdr:row>
      <xdr:rowOff>75127</xdr:rowOff>
    </xdr:from>
    <xdr:to>
      <xdr:col>2</xdr:col>
      <xdr:colOff>0</xdr:colOff>
      <xdr:row>21</xdr:row>
      <xdr:rowOff>75127</xdr:rowOff>
    </xdr:to>
    <xdr:cxnSp macro="">
      <xdr:nvCxnSpPr>
        <xdr:cNvPr id="47" name="Straight Connector 46">
          <a:extLst>
            <a:ext uri="{FF2B5EF4-FFF2-40B4-BE49-F238E27FC236}">
              <a16:creationId xmlns:a16="http://schemas.microsoft.com/office/drawing/2014/main" id="{891BD873-21B6-484D-94D5-79E4993D553B}"/>
            </a:ext>
          </a:extLst>
        </xdr:cNvPr>
        <xdr:cNvCxnSpPr/>
      </xdr:nvCxnSpPr>
      <xdr:spPr>
        <a:xfrm>
          <a:off x="225380" y="3906592"/>
          <a:ext cx="1524000" cy="0"/>
        </a:xfrm>
        <a:prstGeom prst="line">
          <a:avLst/>
        </a:prstGeom>
        <a:ln>
          <a:solidFill>
            <a:schemeClr val="accent3">
              <a:alpha val="44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16</xdr:col>
      <xdr:colOff>444500</xdr:colOff>
      <xdr:row>21</xdr:row>
      <xdr:rowOff>4445</xdr:rowOff>
    </xdr:from>
    <xdr:to>
      <xdr:col>18</xdr:col>
      <xdr:colOff>571499</xdr:colOff>
      <xdr:row>31</xdr:row>
      <xdr:rowOff>31750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2F68893C-69BE-461C-B987-7940342C2A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398250" y="4004945"/>
              <a:ext cx="1587499" cy="19323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1081215</xdr:colOff>
      <xdr:row>4</xdr:row>
      <xdr:rowOff>92675</xdr:rowOff>
    </xdr:from>
    <xdr:to>
      <xdr:col>2</xdr:col>
      <xdr:colOff>113629</xdr:colOff>
      <xdr:row>5</xdr:row>
      <xdr:rowOff>156756</xdr:rowOff>
    </xdr:to>
    <xdr:sp macro="" textlink="'Summary &amp; Trends'!G8">
      <xdr:nvSpPr>
        <xdr:cNvPr id="17" name="TextBox 16">
          <a:extLst>
            <a:ext uri="{FF2B5EF4-FFF2-40B4-BE49-F238E27FC236}">
              <a16:creationId xmlns:a16="http://schemas.microsoft.com/office/drawing/2014/main" id="{9C304776-2546-43CD-A915-305DA5205815}"/>
            </a:ext>
          </a:extLst>
        </xdr:cNvPr>
        <xdr:cNvSpPr txBox="1"/>
      </xdr:nvSpPr>
      <xdr:spPr>
        <a:xfrm>
          <a:off x="1307756" y="834080"/>
          <a:ext cx="556414" cy="249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5A1BE91-DA63-4DCF-8B47-B704DCEADDE5}" type="TxLink">
            <a:rPr lang="en-US" sz="1200" b="0"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ctr"/>
            <a:t>2,400</a:t>
          </a:fld>
          <a:endParaRPr lang="en-US" sz="1200" b="0"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1009134</xdr:colOff>
      <xdr:row>8</xdr:row>
      <xdr:rowOff>20594</xdr:rowOff>
    </xdr:from>
    <xdr:to>
      <xdr:col>2</xdr:col>
      <xdr:colOff>146109</xdr:colOff>
      <xdr:row>9</xdr:row>
      <xdr:rowOff>180866</xdr:rowOff>
    </xdr:to>
    <xdr:sp macro="" textlink="'Summary &amp; Trends'!H8">
      <xdr:nvSpPr>
        <xdr:cNvPr id="18" name="TextBox 17">
          <a:extLst>
            <a:ext uri="{FF2B5EF4-FFF2-40B4-BE49-F238E27FC236}">
              <a16:creationId xmlns:a16="http://schemas.microsoft.com/office/drawing/2014/main" id="{11E1A6CC-0BD0-41B2-BEDF-32EF0231DED3}"/>
            </a:ext>
          </a:extLst>
        </xdr:cNvPr>
        <xdr:cNvSpPr txBox="1"/>
      </xdr:nvSpPr>
      <xdr:spPr>
        <a:xfrm>
          <a:off x="1235675" y="1503405"/>
          <a:ext cx="660975" cy="345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304CB4-5E8A-4DAA-8486-2F77E490EB30}" type="TxLink">
            <a:rPr lang="en-US" sz="1200" b="0"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ctr"/>
            <a:t>11,997</a:t>
          </a:fld>
          <a:endParaRPr lang="en-IN" sz="1200" b="0"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1019432</xdr:colOff>
      <xdr:row>11</xdr:row>
      <xdr:rowOff>159577</xdr:rowOff>
    </xdr:from>
    <xdr:to>
      <xdr:col>2</xdr:col>
      <xdr:colOff>205945</xdr:colOff>
      <xdr:row>13</xdr:row>
      <xdr:rowOff>184175</xdr:rowOff>
    </xdr:to>
    <xdr:sp macro="" textlink="'Summary &amp; Trends'!I8">
      <xdr:nvSpPr>
        <xdr:cNvPr id="19" name="TextBox 18">
          <a:extLst>
            <a:ext uri="{FF2B5EF4-FFF2-40B4-BE49-F238E27FC236}">
              <a16:creationId xmlns:a16="http://schemas.microsoft.com/office/drawing/2014/main" id="{90EBD78F-EA55-45A7-A6D4-E08D408366FA}"/>
            </a:ext>
          </a:extLst>
        </xdr:cNvPr>
        <xdr:cNvSpPr txBox="1"/>
      </xdr:nvSpPr>
      <xdr:spPr>
        <a:xfrm>
          <a:off x="1245973" y="2198442"/>
          <a:ext cx="710513" cy="3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7F3801-65D3-45B5-B571-13051627DD81}" type="TxLink">
            <a:rPr lang="en-US" sz="1200" b="0"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ctr"/>
            <a:t>$649.0k</a:t>
          </a:fld>
          <a:endParaRPr lang="en-IN" sz="1200" b="0"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1094938</xdr:colOff>
      <xdr:row>16</xdr:row>
      <xdr:rowOff>97793</xdr:rowOff>
    </xdr:from>
    <xdr:to>
      <xdr:col>2</xdr:col>
      <xdr:colOff>85662</xdr:colOff>
      <xdr:row>17</xdr:row>
      <xdr:rowOff>144140</xdr:rowOff>
    </xdr:to>
    <xdr:sp macro="" textlink="'Summary &amp; Trends'!J8">
      <xdr:nvSpPr>
        <xdr:cNvPr id="24" name="TextBox 23">
          <a:extLst>
            <a:ext uri="{FF2B5EF4-FFF2-40B4-BE49-F238E27FC236}">
              <a16:creationId xmlns:a16="http://schemas.microsoft.com/office/drawing/2014/main" id="{1EDFF158-CC92-46A1-8525-1815DD5A1F26}"/>
            </a:ext>
          </a:extLst>
        </xdr:cNvPr>
        <xdr:cNvSpPr txBox="1"/>
      </xdr:nvSpPr>
      <xdr:spPr>
        <a:xfrm>
          <a:off x="1321479" y="3063415"/>
          <a:ext cx="514724" cy="231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11D450-8F2C-4288-8939-FD8BA589F06D}" type="TxLink">
            <a:rPr lang="en-US" sz="1200" b="0"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ctr"/>
            <a:t>4.0</a:t>
          </a:fld>
          <a:endParaRPr lang="en-IN" sz="1200" b="0"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1074342</xdr:colOff>
      <xdr:row>20</xdr:row>
      <xdr:rowOff>36011</xdr:rowOff>
    </xdr:from>
    <xdr:to>
      <xdr:col>2</xdr:col>
      <xdr:colOff>109580</xdr:colOff>
      <xdr:row>21</xdr:row>
      <xdr:rowOff>23703</xdr:rowOff>
    </xdr:to>
    <xdr:sp macro="" textlink="'Summary &amp; Trends'!K8">
      <xdr:nvSpPr>
        <xdr:cNvPr id="25" name="TextBox 24">
          <a:extLst>
            <a:ext uri="{FF2B5EF4-FFF2-40B4-BE49-F238E27FC236}">
              <a16:creationId xmlns:a16="http://schemas.microsoft.com/office/drawing/2014/main" id="{34BCBE35-08BA-4A67-BC79-940F26D07066}"/>
            </a:ext>
          </a:extLst>
        </xdr:cNvPr>
        <xdr:cNvSpPr txBox="1"/>
      </xdr:nvSpPr>
      <xdr:spPr>
        <a:xfrm>
          <a:off x="1300883" y="3743038"/>
          <a:ext cx="559238" cy="173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53548B-6908-4785-831D-A078CD183DC1}" type="TxLink">
            <a:rPr lang="en-US" sz="1200" b="0"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ctr"/>
            <a:t>2.3</a:t>
          </a:fld>
          <a:endParaRPr lang="en-IN" sz="1200" b="0" i="0" u="none" strike="noStrike">
            <a:gradFill>
              <a:gsLst>
                <a:gs pos="0">
                  <a:schemeClr val="bg1"/>
                </a:gs>
                <a:gs pos="10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Singh" refreshedDate="45987.822507986108" createdVersion="8" refreshedVersion="8" minRefreshableVersion="3" recordCount="2400" xr:uid="{1E5C95BF-3ACF-4B52-B34E-8C4216E5D0B6}">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344797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DCEB7C-05DE-494D-9167-40A871A71622}" name="Dynamic 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8"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2D146B-DD83-4168-B247-4C0B8F92F090}" name="pvt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4:C28"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6AF9DB-75BD-4D1D-BA1F-51DB93B8EAAC}"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4806AF-92DD-4263-B08C-BD4F07B32BDE}" name="pvtOr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44DA8A-1641-42A5-9AB4-0DA9117C1D4A}"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 ">
  <location ref="A11: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5317C2-DCD2-4187-9ABA-E1CADF7BC42C}" name="pv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3">
  <location ref="A40:D98"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B3EE1B-68B2-4EEC-9A3B-CE0C000696A1}"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J11:K16"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8" format="2" series="1">
      <pivotArea type="data" outline="0" fieldPosition="0">
        <references count="2">
          <reference field="4294967294" count="1" selected="0">
            <x v="0"/>
          </reference>
          <reference field="14" count="1" selected="0">
            <x v="2"/>
          </reference>
        </references>
      </pivotArea>
    </chartFormat>
    <chartFormat chart="8" format="3" series="1">
      <pivotArea type="data" outline="0" fieldPosition="0">
        <references count="2">
          <reference field="4294967294" count="1" selected="0">
            <x v="0"/>
          </reference>
          <reference field="14" count="1" selected="0">
            <x v="3"/>
          </reference>
        </references>
      </pivotArea>
    </chartFormat>
    <chartFormat chart="10" format="8" series="1">
      <pivotArea type="data" outline="0" fieldPosition="0">
        <references count="2">
          <reference field="4294967294" count="1" selected="0">
            <x v="0"/>
          </reference>
          <reference field="14" count="1" selected="0">
            <x v="0"/>
          </reference>
        </references>
      </pivotArea>
    </chartFormat>
    <chartFormat chart="10" format="9" series="1">
      <pivotArea type="data" outline="0" fieldPosition="0">
        <references count="2">
          <reference field="4294967294" count="1" selected="0">
            <x v="0"/>
          </reference>
          <reference field="14" count="1" selected="0">
            <x v="1"/>
          </reference>
        </references>
      </pivotArea>
    </chartFormat>
    <chartFormat chart="10" format="10" series="1">
      <pivotArea type="data" outline="0" fieldPosition="0">
        <references count="2">
          <reference field="4294967294" count="1" selected="0">
            <x v="0"/>
          </reference>
          <reference field="14" count="1" selected="0">
            <x v="2"/>
          </reference>
        </references>
      </pivotArea>
    </chartFormat>
    <chartFormat chart="10" format="11" series="1">
      <pivotArea type="data" outline="0" fieldPosition="0">
        <references count="2">
          <reference field="4294967294" count="1" selected="0">
            <x v="0"/>
          </reference>
          <reference field="14" count="1" selected="0">
            <x v="3"/>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14" count="1" selected="0">
            <x v="0"/>
          </reference>
        </references>
      </pivotArea>
    </chartFormat>
    <chartFormat chart="38" format="8">
      <pivotArea type="data" outline="0" fieldPosition="0">
        <references count="2">
          <reference field="4294967294" count="1" selected="0">
            <x v="0"/>
          </reference>
          <reference field="14" count="1" selected="0">
            <x v="1"/>
          </reference>
        </references>
      </pivotArea>
    </chartFormat>
    <chartFormat chart="38" format="9">
      <pivotArea type="data" outline="0" fieldPosition="0">
        <references count="2">
          <reference field="4294967294" count="1" selected="0">
            <x v="0"/>
          </reference>
          <reference field="14" count="1" selected="0">
            <x v="2"/>
          </reference>
        </references>
      </pivotArea>
    </chartFormat>
    <chartFormat chart="38"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60E0DA-60EF-4B42-AE42-7BCB12BC4799}"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11:F33"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10" format="8" series="1">
      <pivotArea type="data" outline="0" fieldPosition="0">
        <references count="2">
          <reference field="4294967294" count="1" selected="0">
            <x v="0"/>
          </reference>
          <reference field="14" count="1" selected="0">
            <x v="0"/>
          </reference>
        </references>
      </pivotArea>
    </chartFormat>
    <chartFormat chart="10" format="9" series="1">
      <pivotArea type="data" outline="0" fieldPosition="0">
        <references count="2">
          <reference field="4294967294" count="1" selected="0">
            <x v="0"/>
          </reference>
          <reference field="14" count="1" selected="0">
            <x v="1"/>
          </reference>
        </references>
      </pivotArea>
    </chartFormat>
    <chartFormat chart="10" format="10" series="1">
      <pivotArea type="data" outline="0" fieldPosition="0">
        <references count="2">
          <reference field="4294967294" count="1" selected="0">
            <x v="0"/>
          </reference>
          <reference field="14" count="1" selected="0">
            <x v="2"/>
          </reference>
        </references>
      </pivotArea>
    </chartFormat>
    <chartFormat chart="10"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781F1B-B9A4-4AC8-9DBC-F8384BE4E564}"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1:G36"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13" series="1">
      <pivotArea type="data" outline="0" fieldPosition="0">
        <references count="2">
          <reference field="4294967294" count="1" selected="0">
            <x v="0"/>
          </reference>
          <reference field="9" count="1" selected="0">
            <x v="0"/>
          </reference>
        </references>
      </pivotArea>
    </chartFormat>
    <chartFormat chart="13" format="14" series="1">
      <pivotArea type="data" outline="0" fieldPosition="0">
        <references count="2">
          <reference field="4294967294" count="1" selected="0">
            <x v="0"/>
          </reference>
          <reference field="9" count="1" selected="0">
            <x v="1"/>
          </reference>
        </references>
      </pivotArea>
    </chartFormat>
    <chartFormat chart="13" format="15" series="1">
      <pivotArea type="data" outline="0" fieldPosition="0">
        <references count="2">
          <reference field="4294967294" count="1" selected="0">
            <x v="0"/>
          </reference>
          <reference field="9" count="1" selected="0">
            <x v="2"/>
          </reference>
        </references>
      </pivotArea>
    </chartFormat>
    <chartFormat chart="13" format="16" series="1">
      <pivotArea type="data" outline="0" fieldPosition="0">
        <references count="2">
          <reference field="4294967294" count="1" selected="0">
            <x v="0"/>
          </reference>
          <reference field="9" count="1" selected="0">
            <x v="3"/>
          </reference>
        </references>
      </pivotArea>
    </chartFormat>
    <chartFormat chart="13"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39C0FB-E33E-41AE-9F6B-603B87B55B5D}" name="pv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B24"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F72B26C-3D67-4C8A-A723-287EB7495A02}" sourceName="Order Mode">
  <pivotTables>
    <pivotTable tabId="9" name="pvtRating"/>
    <pivotTable tabId="8" name="pvtProduct"/>
    <pivotTable tabId="8" name="pvtGender"/>
    <pivotTable tabId="8" name="pvtMap"/>
    <pivotTable tabId="7" name="pvtQty"/>
    <pivotTable tabId="9" name="pvtDuration"/>
    <pivotTable tabId="5" name="pvtTrends"/>
    <pivotTable tabId="5" name="Dynamic Summary"/>
  </pivotTables>
  <data>
    <tabular pivotCacheId="134479721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2F88EB8F-C2B4-4F50-9CDB-73A58813AA07}" sourceName="Gender Value">
  <pivotTables>
    <pivotTable tabId="9" name="pvtRating"/>
    <pivotTable tabId="8" name="pvtMap"/>
    <pivotTable tabId="7" name="pvtQty"/>
    <pivotTable tabId="5" name="pvtTrends"/>
    <pivotTable tabId="9" name="pvtDuration"/>
    <pivotTable tabId="5" name="Dynamic Summary"/>
  </pivotTables>
  <data>
    <tabular pivotCacheId="134479721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BEEBFA9D-3530-4383-A241-1F159201D482}" cache="Slicer_Order_Mode" caption="Order Mode" style="SlicerStyleDark1" rowHeight="247650"/>
  <slicer name="Gender Value" xr10:uid="{E6AE817E-4E92-43F1-93AF-BE18028A5DC7}" cache="Slicer_Gender_Value" caption="Gender Value"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zoomScale="68" workbookViewId="0">
      <selection activeCell="G16" sqref="G16"/>
    </sheetView>
  </sheetViews>
  <sheetFormatPr defaultRowHeight="14.4" x14ac:dyDescent="0.3"/>
  <cols>
    <col min="2" max="2" width="19.109375" customWidth="1"/>
    <col min="3" max="3" width="8.109375" customWidth="1"/>
    <col min="4" max="4" width="9.109375" customWidth="1"/>
    <col min="5" max="5" width="7.44140625" customWidth="1"/>
    <col min="6" max="6" width="10" customWidth="1"/>
    <col min="7" max="7" width="9.44140625" customWidth="1"/>
    <col min="8" max="8" width="15.6640625" customWidth="1"/>
    <col min="9" max="9" width="10.6640625" customWidth="1"/>
    <col min="10" max="10" width="7.77734375" customWidth="1"/>
    <col min="11" max="11" width="8.77734375" customWidth="1"/>
    <col min="12" max="12" width="19.6640625" customWidth="1"/>
    <col min="13" max="13" width="13.33203125" customWidth="1"/>
    <col min="14" max="14" width="9.33203125" customWidth="1"/>
    <col min="15" max="15" width="12.109375"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84CAE-B20C-4A56-B0B9-1ED6E61B0B98}">
  <dimension ref="A2:K28"/>
  <sheetViews>
    <sheetView topLeftCell="A2" workbookViewId="0">
      <selection activeCell="G6" sqref="G6"/>
    </sheetView>
  </sheetViews>
  <sheetFormatPr defaultRowHeight="14.4" x14ac:dyDescent="0.3"/>
  <cols>
    <col min="1" max="1" width="13.21875" bestFit="1" customWidth="1"/>
    <col min="2" max="2" width="14.88671875" bestFit="1" customWidth="1"/>
    <col min="3" max="3" width="14.44140625" bestFit="1" customWidth="1"/>
    <col min="4" max="4" width="17.6640625" bestFit="1" customWidth="1"/>
    <col min="5" max="5" width="23.33203125" bestFit="1" customWidth="1"/>
  </cols>
  <sheetData>
    <row r="2" spans="1:11" x14ac:dyDescent="0.3">
      <c r="A2" t="s">
        <v>2580</v>
      </c>
      <c r="G2" t="s">
        <v>2553</v>
      </c>
    </row>
    <row r="3" spans="1:11" x14ac:dyDescent="0.3">
      <c r="A3" t="s">
        <v>2548</v>
      </c>
      <c r="B3" t="s">
        <v>2549</v>
      </c>
      <c r="C3" t="s">
        <v>2550</v>
      </c>
      <c r="D3" t="s">
        <v>2551</v>
      </c>
      <c r="E3" t="s">
        <v>2552</v>
      </c>
      <c r="G3" t="s">
        <v>2538</v>
      </c>
      <c r="H3" t="s">
        <v>2554</v>
      </c>
      <c r="I3" t="s">
        <v>4</v>
      </c>
      <c r="J3" t="s">
        <v>2507</v>
      </c>
      <c r="K3" t="s">
        <v>2555</v>
      </c>
    </row>
    <row r="4" spans="1:11" x14ac:dyDescent="0.3">
      <c r="A4" s="25">
        <v>2400</v>
      </c>
      <c r="B4" s="25">
        <v>11997</v>
      </c>
      <c r="C4" s="25">
        <v>649019.80000000144</v>
      </c>
      <c r="D4" s="25">
        <v>3.9620833333333332</v>
      </c>
      <c r="E4" s="25">
        <v>2.3424999999999998</v>
      </c>
      <c r="G4" t="str">
        <f>TEXT(A4,"#,##")</f>
        <v>2,400</v>
      </c>
      <c r="H4" t="str">
        <f>TEXT(B4,"#,##")</f>
        <v>11,997</v>
      </c>
      <c r="I4" t="str">
        <f>TEXT(C4,"$#,##,.0k")</f>
        <v>$649.0k</v>
      </c>
      <c r="J4" t="str">
        <f>TEXT(D4,"0.0")</f>
        <v>4.0</v>
      </c>
      <c r="K4" t="str">
        <f>TEXT(E4,"0.0")</f>
        <v>2.3</v>
      </c>
    </row>
    <row r="6" spans="1:11" x14ac:dyDescent="0.3">
      <c r="A6" t="s">
        <v>2581</v>
      </c>
      <c r="G6" t="s">
        <v>2553</v>
      </c>
    </row>
    <row r="7" spans="1:11" x14ac:dyDescent="0.3">
      <c r="A7" t="s">
        <v>2548</v>
      </c>
      <c r="B7" t="s">
        <v>2549</v>
      </c>
      <c r="C7" t="s">
        <v>2550</v>
      </c>
      <c r="D7" t="s">
        <v>2551</v>
      </c>
      <c r="E7" t="s">
        <v>2552</v>
      </c>
      <c r="G7" t="s">
        <v>2538</v>
      </c>
      <c r="H7" t="s">
        <v>2554</v>
      </c>
      <c r="I7" t="s">
        <v>4</v>
      </c>
      <c r="J7" t="s">
        <v>2582</v>
      </c>
      <c r="K7" t="s">
        <v>2583</v>
      </c>
    </row>
    <row r="8" spans="1:11" x14ac:dyDescent="0.3">
      <c r="A8" s="25">
        <v>2400</v>
      </c>
      <c r="B8" s="25">
        <v>11997</v>
      </c>
      <c r="C8" s="25">
        <v>649019.80000000144</v>
      </c>
      <c r="D8" s="25">
        <v>3.9620833333333332</v>
      </c>
      <c r="E8" s="25">
        <v>2.3424999999999998</v>
      </c>
      <c r="G8" t="str">
        <f>TEXT(A8,"#,##")</f>
        <v>2,400</v>
      </c>
      <c r="H8" t="str">
        <f>TEXT(B8,"#,##")</f>
        <v>11,997</v>
      </c>
      <c r="I8" t="str">
        <f>TEXT(C8,"$#,##,.0k")</f>
        <v>$649.0k</v>
      </c>
      <c r="J8" t="str">
        <f>TEXT(D8,"0.0")</f>
        <v>4.0</v>
      </c>
      <c r="K8" t="str">
        <f>TEXT(E8,"0.0")</f>
        <v>2.3</v>
      </c>
    </row>
    <row r="12" spans="1:11" x14ac:dyDescent="0.3">
      <c r="A12" t="s">
        <v>2556</v>
      </c>
    </row>
    <row r="14" spans="1:11" x14ac:dyDescent="0.3">
      <c r="A14" s="12" t="s">
        <v>2557</v>
      </c>
      <c r="B14" t="s">
        <v>2549</v>
      </c>
      <c r="C14" t="s">
        <v>2550</v>
      </c>
    </row>
    <row r="15" spans="1:11" x14ac:dyDescent="0.3">
      <c r="A15" s="13">
        <v>1</v>
      </c>
      <c r="B15" s="25">
        <v>546</v>
      </c>
      <c r="C15" s="14">
        <v>32413.300000000003</v>
      </c>
    </row>
    <row r="16" spans="1:11" x14ac:dyDescent="0.3">
      <c r="A16" s="13">
        <v>2</v>
      </c>
      <c r="B16" s="25">
        <v>905</v>
      </c>
      <c r="C16" s="14">
        <v>49562.999999999993</v>
      </c>
    </row>
    <row r="17" spans="1:3" x14ac:dyDescent="0.3">
      <c r="A17" s="13">
        <v>3</v>
      </c>
      <c r="B17" s="25">
        <v>796</v>
      </c>
      <c r="C17" s="14">
        <v>41700.400000000016</v>
      </c>
    </row>
    <row r="18" spans="1:3" x14ac:dyDescent="0.3">
      <c r="A18" s="13">
        <v>4</v>
      </c>
      <c r="B18" s="25">
        <v>913</v>
      </c>
      <c r="C18" s="14">
        <v>46782.599999999984</v>
      </c>
    </row>
    <row r="19" spans="1:3" x14ac:dyDescent="0.3">
      <c r="A19" s="13">
        <v>5</v>
      </c>
      <c r="B19" s="25">
        <v>844</v>
      </c>
      <c r="C19" s="14">
        <v>42676.100000000006</v>
      </c>
    </row>
    <row r="20" spans="1:3" x14ac:dyDescent="0.3">
      <c r="A20" s="13">
        <v>6</v>
      </c>
      <c r="B20" s="25">
        <v>1202</v>
      </c>
      <c r="C20" s="14">
        <v>62910.7</v>
      </c>
    </row>
    <row r="21" spans="1:3" x14ac:dyDescent="0.3">
      <c r="A21" s="13">
        <v>7</v>
      </c>
      <c r="B21" s="25">
        <v>935</v>
      </c>
      <c r="C21" s="14">
        <v>50332.200000000004</v>
      </c>
    </row>
    <row r="22" spans="1:3" x14ac:dyDescent="0.3">
      <c r="A22" s="13">
        <v>8</v>
      </c>
      <c r="B22" s="25">
        <v>1128</v>
      </c>
      <c r="C22" s="14">
        <v>58760.599999999977</v>
      </c>
    </row>
    <row r="23" spans="1:3" x14ac:dyDescent="0.3">
      <c r="A23" s="13">
        <v>9</v>
      </c>
      <c r="B23" s="25">
        <v>1007</v>
      </c>
      <c r="C23" s="14">
        <v>52017.299999999996</v>
      </c>
    </row>
    <row r="24" spans="1:3" x14ac:dyDescent="0.3">
      <c r="A24" s="13">
        <v>10</v>
      </c>
      <c r="B24" s="25">
        <v>1128</v>
      </c>
      <c r="C24" s="14">
        <v>64915.700000000033</v>
      </c>
    </row>
    <row r="25" spans="1:3" x14ac:dyDescent="0.3">
      <c r="A25" s="13">
        <v>11</v>
      </c>
      <c r="B25" s="25">
        <v>861</v>
      </c>
      <c r="C25" s="14">
        <v>45943.80000000001</v>
      </c>
    </row>
    <row r="26" spans="1:3" x14ac:dyDescent="0.3">
      <c r="A26" s="13">
        <v>12</v>
      </c>
      <c r="B26" s="25">
        <v>944</v>
      </c>
      <c r="C26" s="14">
        <v>55077.900000000031</v>
      </c>
    </row>
    <row r="27" spans="1:3" x14ac:dyDescent="0.3">
      <c r="A27" s="13">
        <v>13</v>
      </c>
      <c r="B27" s="25">
        <v>788</v>
      </c>
      <c r="C27" s="14">
        <v>45926.19999999999</v>
      </c>
    </row>
    <row r="28" spans="1:3" x14ac:dyDescent="0.3">
      <c r="A28" s="13" t="s">
        <v>2558</v>
      </c>
      <c r="B28" s="25">
        <v>11997</v>
      </c>
      <c r="C28" s="14">
        <v>649019.79999999993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F523C-ADE8-4B35-82B8-1EE509454230}">
  <dimension ref="A2:L10"/>
  <sheetViews>
    <sheetView showGridLines="0" workbookViewId="0">
      <selection activeCell="A2" sqref="A2"/>
    </sheetView>
  </sheetViews>
  <sheetFormatPr defaultRowHeight="14.4" x14ac:dyDescent="0.3"/>
  <cols>
    <col min="1" max="1" width="13.5546875" customWidth="1"/>
    <col min="2" max="2" width="15.5546875" customWidth="1"/>
    <col min="3" max="3" width="7.109375" customWidth="1"/>
    <col min="4" max="4" width="6.109375" customWidth="1"/>
    <col min="5" max="5" width="8.5546875" customWidth="1"/>
    <col min="6" max="6" width="10.5546875" customWidth="1"/>
    <col min="8" max="8" width="12.109375" customWidth="1"/>
    <col min="9" max="12" width="9" customWidth="1"/>
  </cols>
  <sheetData>
    <row r="2" spans="1:12" x14ac:dyDescent="0.3">
      <c r="H2" t="s">
        <v>2564</v>
      </c>
    </row>
    <row r="3" spans="1:12" x14ac:dyDescent="0.3">
      <c r="A3" s="12" t="s">
        <v>2550</v>
      </c>
      <c r="B3" s="12" t="s">
        <v>2559</v>
      </c>
    </row>
    <row r="4" spans="1:12" ht="19.2" customHeight="1" thickBot="1" x14ac:dyDescent="0.35">
      <c r="A4" s="12" t="s">
        <v>2557</v>
      </c>
      <c r="B4" t="s">
        <v>2560</v>
      </c>
      <c r="C4" t="s">
        <v>2561</v>
      </c>
      <c r="D4" t="s">
        <v>2562</v>
      </c>
      <c r="E4" t="s">
        <v>2563</v>
      </c>
      <c r="F4" t="s">
        <v>2558</v>
      </c>
      <c r="H4" s="16"/>
      <c r="I4" s="23" t="s">
        <v>27</v>
      </c>
      <c r="J4" s="23" t="s">
        <v>23</v>
      </c>
      <c r="K4" s="23" t="s">
        <v>89</v>
      </c>
      <c r="L4" s="24" t="s">
        <v>2579</v>
      </c>
    </row>
    <row r="5" spans="1:12" ht="19.2" customHeight="1" thickTop="1" thickBot="1" x14ac:dyDescent="0.35">
      <c r="A5" s="13" t="s">
        <v>18</v>
      </c>
      <c r="B5" s="15">
        <v>0.18961825201634841</v>
      </c>
      <c r="C5" s="15">
        <v>0.12262322351336576</v>
      </c>
      <c r="D5" s="15">
        <v>1.060537752469185E-2</v>
      </c>
      <c r="E5" s="15">
        <v>3.0599220547662797E-2</v>
      </c>
      <c r="F5" s="15">
        <v>0.35344607360206881</v>
      </c>
      <c r="H5" s="21" t="str">
        <f>A5</f>
        <v>App</v>
      </c>
      <c r="I5" s="17">
        <f t="shared" ref="I5:L9" si="0">B5</f>
        <v>0.18961825201634841</v>
      </c>
      <c r="J5" s="17">
        <f t="shared" si="0"/>
        <v>0.12262322351336576</v>
      </c>
      <c r="K5" s="17">
        <f t="shared" si="0"/>
        <v>1.060537752469185E-2</v>
      </c>
      <c r="L5" s="18">
        <f t="shared" si="0"/>
        <v>3.0599220547662797E-2</v>
      </c>
    </row>
    <row r="6" spans="1:12" ht="19.2" customHeight="1" thickTop="1" thickBot="1" x14ac:dyDescent="0.35">
      <c r="A6" s="13" t="s">
        <v>51</v>
      </c>
      <c r="B6" s="15">
        <v>5.0283982091147303E-2</v>
      </c>
      <c r="C6" s="15">
        <v>4.3060781812819873E-2</v>
      </c>
      <c r="D6" s="15">
        <v>1.5320025675641944E-3</v>
      </c>
      <c r="E6" s="15">
        <v>1.7794988689097006E-2</v>
      </c>
      <c r="F6" s="15">
        <v>0.11267175516062837</v>
      </c>
      <c r="H6" s="21" t="str">
        <f>A6</f>
        <v>Instagram</v>
      </c>
      <c r="I6" s="17">
        <f t="shared" si="0"/>
        <v>5.0283982091147303E-2</v>
      </c>
      <c r="J6" s="17">
        <f t="shared" si="0"/>
        <v>4.3060781812819873E-2</v>
      </c>
      <c r="K6" s="17">
        <f t="shared" si="0"/>
        <v>1.5320025675641944E-3</v>
      </c>
      <c r="L6" s="18">
        <f t="shared" si="0"/>
        <v>1.7794988689097006E-2</v>
      </c>
    </row>
    <row r="7" spans="1:12" ht="19.2" customHeight="1" thickTop="1" thickBot="1" x14ac:dyDescent="0.35">
      <c r="A7" s="13" t="s">
        <v>70</v>
      </c>
      <c r="B7" s="15">
        <v>6.3496059750411282E-2</v>
      </c>
      <c r="C7" s="15">
        <v>4.6071629863988765E-2</v>
      </c>
      <c r="D7" s="15">
        <v>2.306247051322625E-3</v>
      </c>
      <c r="E7" s="15">
        <v>3.8927934093844286E-3</v>
      </c>
      <c r="F7" s="15">
        <v>0.11576673007510711</v>
      </c>
      <c r="H7" s="21" t="str">
        <f>A7</f>
        <v>Partner App</v>
      </c>
      <c r="I7" s="17">
        <f t="shared" si="0"/>
        <v>6.3496059750411282E-2</v>
      </c>
      <c r="J7" s="17">
        <f t="shared" si="0"/>
        <v>4.6071629863988765E-2</v>
      </c>
      <c r="K7" s="17">
        <f t="shared" si="0"/>
        <v>2.306247051322625E-3</v>
      </c>
      <c r="L7" s="18">
        <f t="shared" si="0"/>
        <v>3.8927934093844286E-3</v>
      </c>
    </row>
    <row r="8" spans="1:12" ht="19.2" customHeight="1" thickTop="1" thickBot="1" x14ac:dyDescent="0.35">
      <c r="A8" s="13" t="s">
        <v>40</v>
      </c>
      <c r="B8" s="15">
        <v>9.6337892927149532E-2</v>
      </c>
      <c r="C8" s="15">
        <v>6.7920115842382611E-2</v>
      </c>
      <c r="D8" s="15">
        <v>5.4979832664581261E-3</v>
      </c>
      <c r="E8" s="15">
        <v>1.2933041488102518E-2</v>
      </c>
      <c r="F8" s="15">
        <v>0.1826890335240928</v>
      </c>
      <c r="H8" s="21" t="str">
        <f>A8</f>
        <v>Target.com</v>
      </c>
      <c r="I8" s="17">
        <f t="shared" si="0"/>
        <v>9.6337892927149532E-2</v>
      </c>
      <c r="J8" s="17">
        <f t="shared" si="0"/>
        <v>6.7920115842382611E-2</v>
      </c>
      <c r="K8" s="17">
        <f t="shared" si="0"/>
        <v>5.4979832664581261E-3</v>
      </c>
      <c r="L8" s="18">
        <f t="shared" si="0"/>
        <v>1.2933041488102518E-2</v>
      </c>
    </row>
    <row r="9" spans="1:12" ht="19.2" customHeight="1" thickTop="1" x14ac:dyDescent="0.3">
      <c r="A9" s="13" t="s">
        <v>35</v>
      </c>
      <c r="B9" s="15">
        <v>0.12522098709469262</v>
      </c>
      <c r="C9" s="15">
        <v>9.1492740283116228E-2</v>
      </c>
      <c r="D9" s="15">
        <v>6.3042760790965081E-3</v>
      </c>
      <c r="E9" s="15">
        <v>1.2408404181197551E-2</v>
      </c>
      <c r="F9" s="15">
        <v>0.23542640763810288</v>
      </c>
      <c r="H9" s="22" t="str">
        <f>A9</f>
        <v>Website</v>
      </c>
      <c r="I9" s="19">
        <f t="shared" si="0"/>
        <v>0.12522098709469262</v>
      </c>
      <c r="J9" s="19">
        <f t="shared" si="0"/>
        <v>9.1492740283116228E-2</v>
      </c>
      <c r="K9" s="19">
        <f t="shared" si="0"/>
        <v>6.3042760790965081E-3</v>
      </c>
      <c r="L9" s="20">
        <f t="shared" si="0"/>
        <v>1.2408404181197551E-2</v>
      </c>
    </row>
    <row r="10" spans="1:12" x14ac:dyDescent="0.3">
      <c r="A10" s="13" t="s">
        <v>2558</v>
      </c>
      <c r="B10" s="15">
        <v>0.52495717387974916</v>
      </c>
      <c r="C10" s="15">
        <v>0.3711684913156732</v>
      </c>
      <c r="D10" s="15">
        <v>2.6245886489133303E-2</v>
      </c>
      <c r="E10" s="15">
        <v>7.7628448315444312E-2</v>
      </c>
      <c r="F10" s="15">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D8DA7-2448-4A9C-B58F-91901F2C55B1}">
  <dimension ref="A9:B19"/>
  <sheetViews>
    <sheetView zoomScale="114" zoomScaleNormal="85" workbookViewId="0">
      <selection activeCell="A10" sqref="A10"/>
    </sheetView>
  </sheetViews>
  <sheetFormatPr defaultRowHeight="14.4" x14ac:dyDescent="0.3"/>
  <cols>
    <col min="1" max="1" width="12.33203125" bestFit="1" customWidth="1"/>
    <col min="2" max="2" width="13.21875" bestFit="1" customWidth="1"/>
  </cols>
  <sheetData>
    <row r="9" spans="1:2" x14ac:dyDescent="0.3">
      <c r="A9" t="s">
        <v>2578</v>
      </c>
    </row>
    <row r="11" spans="1:2" x14ac:dyDescent="0.3">
      <c r="A11" s="12" t="s">
        <v>2567</v>
      </c>
      <c r="B11" t="s">
        <v>2548</v>
      </c>
    </row>
    <row r="12" spans="1:2" x14ac:dyDescent="0.3">
      <c r="A12" s="13">
        <v>1</v>
      </c>
      <c r="B12" s="25">
        <v>397</v>
      </c>
    </row>
    <row r="13" spans="1:2" x14ac:dyDescent="0.3">
      <c r="A13" s="13">
        <v>2</v>
      </c>
      <c r="B13" s="25">
        <v>540</v>
      </c>
    </row>
    <row r="14" spans="1:2" x14ac:dyDescent="0.3">
      <c r="A14" s="13">
        <v>3</v>
      </c>
      <c r="B14" s="25">
        <v>375</v>
      </c>
    </row>
    <row r="15" spans="1:2" x14ac:dyDescent="0.3">
      <c r="A15" s="13">
        <v>4</v>
      </c>
      <c r="B15" s="25">
        <v>246</v>
      </c>
    </row>
    <row r="16" spans="1:2" x14ac:dyDescent="0.3">
      <c r="A16" s="13">
        <v>5</v>
      </c>
      <c r="B16" s="25">
        <v>195</v>
      </c>
    </row>
    <row r="17" spans="1:2" x14ac:dyDescent="0.3">
      <c r="A17" s="13" t="s">
        <v>2565</v>
      </c>
      <c r="B17" s="25">
        <v>414</v>
      </c>
    </row>
    <row r="18" spans="1:2" x14ac:dyDescent="0.3">
      <c r="A18" s="13" t="s">
        <v>2566</v>
      </c>
      <c r="B18" s="25">
        <v>233</v>
      </c>
    </row>
    <row r="19" spans="1:2" x14ac:dyDescent="0.3">
      <c r="A19" s="13" t="s">
        <v>2558</v>
      </c>
      <c r="B19" s="25">
        <v>2400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3109F-437C-4ED4-9C52-ED26850CDE21}">
  <dimension ref="A8:M98"/>
  <sheetViews>
    <sheetView topLeftCell="A43" zoomScale="69" workbookViewId="0">
      <selection activeCell="K39" sqref="K39"/>
    </sheetView>
  </sheetViews>
  <sheetFormatPr defaultRowHeight="14.4" x14ac:dyDescent="0.3"/>
  <cols>
    <col min="1" max="1" width="21.33203125" bestFit="1" customWidth="1"/>
    <col min="2" max="2" width="22.21875" bestFit="1" customWidth="1"/>
    <col min="3" max="3" width="15.5546875" bestFit="1" customWidth="1"/>
    <col min="4" max="4" width="15.109375" bestFit="1" customWidth="1"/>
    <col min="5" max="5" width="9.44140625" bestFit="1" customWidth="1"/>
    <col min="6" max="6" width="11.21875" bestFit="1" customWidth="1"/>
    <col min="7" max="7" width="21.33203125" customWidth="1"/>
    <col min="10" max="10" width="14.109375" bestFit="1" customWidth="1"/>
    <col min="11" max="11" width="15.5546875" bestFit="1" customWidth="1"/>
    <col min="12" max="12" width="21.33203125" customWidth="1"/>
  </cols>
  <sheetData>
    <row r="8" spans="1:11" x14ac:dyDescent="0.3">
      <c r="A8" t="s">
        <v>2569</v>
      </c>
    </row>
    <row r="9" spans="1:11" x14ac:dyDescent="0.3">
      <c r="J9" t="s">
        <v>2584</v>
      </c>
    </row>
    <row r="11" spans="1:11" x14ac:dyDescent="0.3">
      <c r="A11" s="12" t="s">
        <v>2549</v>
      </c>
      <c r="B11" s="12" t="s">
        <v>2559</v>
      </c>
      <c r="J11" s="12" t="s">
        <v>2557</v>
      </c>
      <c r="K11" t="s">
        <v>2549</v>
      </c>
    </row>
    <row r="12" spans="1:11" x14ac:dyDescent="0.3">
      <c r="A12" s="12" t="s">
        <v>2557</v>
      </c>
      <c r="B12" t="s">
        <v>2560</v>
      </c>
      <c r="C12" t="s">
        <v>2561</v>
      </c>
      <c r="D12" t="s">
        <v>2562</v>
      </c>
      <c r="E12" t="s">
        <v>2563</v>
      </c>
      <c r="F12" t="s">
        <v>2558</v>
      </c>
      <c r="J12" s="13" t="s">
        <v>2560</v>
      </c>
      <c r="K12" s="25">
        <v>6272</v>
      </c>
    </row>
    <row r="13" spans="1:11" x14ac:dyDescent="0.3">
      <c r="A13" s="13" t="s">
        <v>44</v>
      </c>
      <c r="B13" s="25">
        <v>744</v>
      </c>
      <c r="C13" s="25">
        <v>713</v>
      </c>
      <c r="D13" s="25">
        <v>90</v>
      </c>
      <c r="E13" s="25">
        <v>98</v>
      </c>
      <c r="F13" s="25">
        <v>1645</v>
      </c>
      <c r="J13" s="13" t="s">
        <v>2561</v>
      </c>
      <c r="K13" s="25">
        <v>4672</v>
      </c>
    </row>
    <row r="14" spans="1:11" x14ac:dyDescent="0.3">
      <c r="A14" s="13" t="s">
        <v>39</v>
      </c>
      <c r="B14" s="25">
        <v>716</v>
      </c>
      <c r="C14" s="25">
        <v>598</v>
      </c>
      <c r="D14" s="25">
        <v>18</v>
      </c>
      <c r="E14" s="25">
        <v>214</v>
      </c>
      <c r="F14" s="25">
        <v>1546</v>
      </c>
      <c r="J14" s="13" t="s">
        <v>2562</v>
      </c>
      <c r="K14" s="25">
        <v>317</v>
      </c>
    </row>
    <row r="15" spans="1:11" x14ac:dyDescent="0.3">
      <c r="A15" s="13" t="s">
        <v>26</v>
      </c>
      <c r="B15" s="25">
        <v>627</v>
      </c>
      <c r="C15" s="25">
        <v>393</v>
      </c>
      <c r="D15" s="25">
        <v>29</v>
      </c>
      <c r="E15" s="25">
        <v>137</v>
      </c>
      <c r="F15" s="25">
        <v>1186</v>
      </c>
      <c r="J15" s="13" t="s">
        <v>2563</v>
      </c>
      <c r="K15" s="25">
        <v>736</v>
      </c>
    </row>
    <row r="16" spans="1:11" x14ac:dyDescent="0.3">
      <c r="A16" s="13" t="s">
        <v>22</v>
      </c>
      <c r="B16" s="25">
        <v>568</v>
      </c>
      <c r="C16" s="25">
        <v>306</v>
      </c>
      <c r="D16" s="25">
        <v>22</v>
      </c>
      <c r="E16" s="25">
        <v>16</v>
      </c>
      <c r="F16" s="25">
        <v>912</v>
      </c>
      <c r="J16" s="13" t="s">
        <v>2558</v>
      </c>
      <c r="K16" s="25">
        <v>11997</v>
      </c>
    </row>
    <row r="17" spans="1:6" x14ac:dyDescent="0.3">
      <c r="A17" s="13" t="s">
        <v>54</v>
      </c>
      <c r="B17" s="25">
        <v>482</v>
      </c>
      <c r="C17" s="25">
        <v>295</v>
      </c>
      <c r="D17" s="25">
        <v>8</v>
      </c>
      <c r="E17" s="25">
        <v>22</v>
      </c>
      <c r="F17" s="25">
        <v>807</v>
      </c>
    </row>
    <row r="18" spans="1:6" x14ac:dyDescent="0.3">
      <c r="A18" s="13" t="s">
        <v>16</v>
      </c>
      <c r="B18" s="25">
        <v>428</v>
      </c>
      <c r="C18" s="25">
        <v>293</v>
      </c>
      <c r="D18" s="25"/>
      <c r="E18" s="25">
        <v>24</v>
      </c>
      <c r="F18" s="25">
        <v>745</v>
      </c>
    </row>
    <row r="19" spans="1:6" x14ac:dyDescent="0.3">
      <c r="A19" s="13" t="s">
        <v>46</v>
      </c>
      <c r="B19" s="25">
        <v>445</v>
      </c>
      <c r="C19" s="25">
        <v>202</v>
      </c>
      <c r="D19" s="25">
        <v>14</v>
      </c>
      <c r="E19" s="25">
        <v>39</v>
      </c>
      <c r="F19" s="25">
        <v>700</v>
      </c>
    </row>
    <row r="20" spans="1:6" x14ac:dyDescent="0.3">
      <c r="A20" s="13" t="s">
        <v>32</v>
      </c>
      <c r="B20" s="25">
        <v>431</v>
      </c>
      <c r="C20" s="25">
        <v>187</v>
      </c>
      <c r="D20" s="25">
        <v>14</v>
      </c>
      <c r="E20" s="25">
        <v>15</v>
      </c>
      <c r="F20" s="25">
        <v>647</v>
      </c>
    </row>
    <row r="21" spans="1:6" x14ac:dyDescent="0.3">
      <c r="A21" s="13" t="s">
        <v>42</v>
      </c>
      <c r="B21" s="25">
        <v>264</v>
      </c>
      <c r="C21" s="25">
        <v>318</v>
      </c>
      <c r="D21" s="25">
        <v>15</v>
      </c>
      <c r="E21" s="25">
        <v>9</v>
      </c>
      <c r="F21" s="25">
        <v>606</v>
      </c>
    </row>
    <row r="22" spans="1:6" x14ac:dyDescent="0.3">
      <c r="A22" s="13" t="s">
        <v>37</v>
      </c>
      <c r="B22" s="25">
        <v>296</v>
      </c>
      <c r="C22" s="25">
        <v>275</v>
      </c>
      <c r="D22" s="25">
        <v>9</v>
      </c>
      <c r="E22" s="25">
        <v>23</v>
      </c>
      <c r="F22" s="25">
        <v>603</v>
      </c>
    </row>
    <row r="23" spans="1:6" x14ac:dyDescent="0.3">
      <c r="A23" s="13" t="s">
        <v>123</v>
      </c>
      <c r="B23" s="25">
        <v>153</v>
      </c>
      <c r="C23" s="25">
        <v>246</v>
      </c>
      <c r="D23" s="25">
        <v>30</v>
      </c>
      <c r="E23" s="25">
        <v>8</v>
      </c>
      <c r="F23" s="25">
        <v>437</v>
      </c>
    </row>
    <row r="24" spans="1:6" x14ac:dyDescent="0.3">
      <c r="A24" s="13" t="s">
        <v>146</v>
      </c>
      <c r="B24" s="25">
        <v>189</v>
      </c>
      <c r="C24" s="25">
        <v>168</v>
      </c>
      <c r="D24" s="25">
        <v>10</v>
      </c>
      <c r="E24" s="25">
        <v>31</v>
      </c>
      <c r="F24" s="25">
        <v>398</v>
      </c>
    </row>
    <row r="25" spans="1:6" x14ac:dyDescent="0.3">
      <c r="A25" s="13" t="s">
        <v>69</v>
      </c>
      <c r="B25" s="25">
        <v>234</v>
      </c>
      <c r="C25" s="25">
        <v>93</v>
      </c>
      <c r="D25" s="25">
        <v>19</v>
      </c>
      <c r="E25" s="25">
        <v>24</v>
      </c>
      <c r="F25" s="25">
        <v>370</v>
      </c>
    </row>
    <row r="26" spans="1:6" x14ac:dyDescent="0.3">
      <c r="A26" s="13" t="s">
        <v>30</v>
      </c>
      <c r="B26" s="25">
        <v>146</v>
      </c>
      <c r="C26" s="25">
        <v>94</v>
      </c>
      <c r="D26" s="25">
        <v>4</v>
      </c>
      <c r="E26" s="25">
        <v>28</v>
      </c>
      <c r="F26" s="25">
        <v>272</v>
      </c>
    </row>
    <row r="27" spans="1:6" x14ac:dyDescent="0.3">
      <c r="A27" s="13" t="s">
        <v>135</v>
      </c>
      <c r="B27" s="25">
        <v>127</v>
      </c>
      <c r="C27" s="25">
        <v>118</v>
      </c>
      <c r="D27" s="25">
        <v>13</v>
      </c>
      <c r="E27" s="25">
        <v>12</v>
      </c>
      <c r="F27" s="25">
        <v>270</v>
      </c>
    </row>
    <row r="28" spans="1:6" x14ac:dyDescent="0.3">
      <c r="A28" s="13" t="s">
        <v>67</v>
      </c>
      <c r="B28" s="25">
        <v>179</v>
      </c>
      <c r="C28" s="25">
        <v>76</v>
      </c>
      <c r="D28" s="25">
        <v>3</v>
      </c>
      <c r="E28" s="25"/>
      <c r="F28" s="25">
        <v>258</v>
      </c>
    </row>
    <row r="29" spans="1:6" x14ac:dyDescent="0.3">
      <c r="A29" s="13" t="s">
        <v>128</v>
      </c>
      <c r="B29" s="25">
        <v>99</v>
      </c>
      <c r="C29" s="25">
        <v>69</v>
      </c>
      <c r="D29" s="25">
        <v>3</v>
      </c>
      <c r="E29" s="25">
        <v>24</v>
      </c>
      <c r="F29" s="25">
        <v>195</v>
      </c>
    </row>
    <row r="30" spans="1:6" x14ac:dyDescent="0.3">
      <c r="A30" s="13" t="s">
        <v>76</v>
      </c>
      <c r="B30" s="25">
        <v>75</v>
      </c>
      <c r="C30" s="25">
        <v>103</v>
      </c>
      <c r="D30" s="25">
        <v>4</v>
      </c>
      <c r="E30" s="25">
        <v>6</v>
      </c>
      <c r="F30" s="25">
        <v>188</v>
      </c>
    </row>
    <row r="31" spans="1:6" x14ac:dyDescent="0.3">
      <c r="A31" s="13" t="s">
        <v>81</v>
      </c>
      <c r="B31" s="25">
        <v>43</v>
      </c>
      <c r="C31" s="25">
        <v>90</v>
      </c>
      <c r="D31" s="25">
        <v>8</v>
      </c>
      <c r="E31" s="25">
        <v>6</v>
      </c>
      <c r="F31" s="25">
        <v>147</v>
      </c>
    </row>
    <row r="32" spans="1:6" x14ac:dyDescent="0.3">
      <c r="A32" s="13" t="s">
        <v>171</v>
      </c>
      <c r="B32" s="25">
        <v>26</v>
      </c>
      <c r="C32" s="25">
        <v>35</v>
      </c>
      <c r="D32" s="25">
        <v>4</v>
      </c>
      <c r="E32" s="25"/>
      <c r="F32" s="25">
        <v>65</v>
      </c>
    </row>
    <row r="33" spans="1:13" x14ac:dyDescent="0.3">
      <c r="A33" s="13" t="s">
        <v>2558</v>
      </c>
      <c r="B33" s="25">
        <v>6272</v>
      </c>
      <c r="C33" s="25">
        <v>4672</v>
      </c>
      <c r="D33" s="25">
        <v>317</v>
      </c>
      <c r="E33" s="25">
        <v>736</v>
      </c>
      <c r="F33" s="25">
        <v>11997</v>
      </c>
    </row>
    <row r="37" spans="1:13" x14ac:dyDescent="0.3">
      <c r="A37" t="s">
        <v>2570</v>
      </c>
    </row>
    <row r="39" spans="1:13" x14ac:dyDescent="0.3">
      <c r="F39" t="s">
        <v>2572</v>
      </c>
      <c r="K39" t="s">
        <v>2571</v>
      </c>
    </row>
    <row r="40" spans="1:13" x14ac:dyDescent="0.3">
      <c r="A40" s="12" t="s">
        <v>10</v>
      </c>
      <c r="B40" s="12" t="s">
        <v>11</v>
      </c>
      <c r="C40" t="s">
        <v>2549</v>
      </c>
      <c r="D40" t="s">
        <v>2550</v>
      </c>
      <c r="F40" t="str">
        <f>A40</f>
        <v>State</v>
      </c>
      <c r="G40" t="str">
        <f t="shared" ref="G40" si="0">B40</f>
        <v>County</v>
      </c>
      <c r="H40" t="s">
        <v>2554</v>
      </c>
      <c r="K40" t="str">
        <f>A40</f>
        <v>State</v>
      </c>
      <c r="L40" t="str">
        <f t="shared" ref="L40:L55" si="1">B40</f>
        <v>County</v>
      </c>
      <c r="M40" t="s">
        <v>4</v>
      </c>
    </row>
    <row r="41" spans="1:13" x14ac:dyDescent="0.3">
      <c r="A41" t="s">
        <v>19</v>
      </c>
      <c r="B41" t="s">
        <v>115</v>
      </c>
      <c r="C41" s="25">
        <v>579</v>
      </c>
      <c r="D41" s="25">
        <v>31884.999999999996</v>
      </c>
      <c r="F41" t="str">
        <f>IF(A41="","",A41)</f>
        <v>California</v>
      </c>
      <c r="G41" t="str">
        <f t="shared" ref="G41:H56" si="2">IF(B41="","",B41)</f>
        <v>Alameda County</v>
      </c>
      <c r="H41">
        <f>IF(C41="","",C41)</f>
        <v>579</v>
      </c>
      <c r="K41" t="str">
        <f>IF(A41="","",A41)</f>
        <v>California</v>
      </c>
      <c r="L41" t="str">
        <f>IF(B41="","",B41)</f>
        <v>Alameda County</v>
      </c>
      <c r="M41">
        <f>IF(D41="","",D41)</f>
        <v>31884.999999999996</v>
      </c>
    </row>
    <row r="42" spans="1:13" x14ac:dyDescent="0.3">
      <c r="A42" t="s">
        <v>19</v>
      </c>
      <c r="B42" t="s">
        <v>20</v>
      </c>
      <c r="C42" s="25">
        <v>1</v>
      </c>
      <c r="D42" s="25">
        <v>10.9</v>
      </c>
      <c r="F42" t="str">
        <f t="shared" ref="F42:F95" si="3">IF(A42="","",A42)</f>
        <v>California</v>
      </c>
      <c r="G42" t="str">
        <f t="shared" si="2"/>
        <v>Alpine County</v>
      </c>
      <c r="H42">
        <f t="shared" si="2"/>
        <v>1</v>
      </c>
      <c r="K42" t="str">
        <f t="shared" ref="K42:L77" si="4">IF(A42="","",A42)</f>
        <v>California</v>
      </c>
      <c r="L42" t="str">
        <f t="shared" si="4"/>
        <v>Alpine County</v>
      </c>
      <c r="M42">
        <f t="shared" ref="M42:M77" si="5">IF(D42="","",D42)</f>
        <v>10.9</v>
      </c>
    </row>
    <row r="43" spans="1:13" x14ac:dyDescent="0.3">
      <c r="A43" t="s">
        <v>19</v>
      </c>
      <c r="B43" t="s">
        <v>641</v>
      </c>
      <c r="C43" s="25">
        <v>9</v>
      </c>
      <c r="D43" s="25">
        <v>800.3</v>
      </c>
      <c r="F43" t="str">
        <f t="shared" si="3"/>
        <v>California</v>
      </c>
      <c r="G43" t="str">
        <f t="shared" si="2"/>
        <v>Amador County</v>
      </c>
      <c r="H43">
        <f t="shared" si="2"/>
        <v>9</v>
      </c>
      <c r="K43" t="str">
        <f t="shared" si="4"/>
        <v>California</v>
      </c>
      <c r="L43" t="str">
        <f t="shared" si="4"/>
        <v>Amador County</v>
      </c>
      <c r="M43">
        <f t="shared" si="5"/>
        <v>800.3</v>
      </c>
    </row>
    <row r="44" spans="1:13" x14ac:dyDescent="0.3">
      <c r="A44" t="s">
        <v>19</v>
      </c>
      <c r="B44" t="s">
        <v>967</v>
      </c>
      <c r="C44" s="25">
        <v>35</v>
      </c>
      <c r="D44" s="25">
        <v>1062.5999999999999</v>
      </c>
      <c r="F44" t="str">
        <f t="shared" si="3"/>
        <v>California</v>
      </c>
      <c r="G44" t="str">
        <f t="shared" si="2"/>
        <v>Butte County</v>
      </c>
      <c r="H44">
        <f t="shared" si="2"/>
        <v>35</v>
      </c>
      <c r="K44" t="str">
        <f t="shared" si="4"/>
        <v>California</v>
      </c>
      <c r="L44" t="str">
        <f t="shared" si="4"/>
        <v>Butte County</v>
      </c>
      <c r="M44">
        <f t="shared" si="5"/>
        <v>1062.5999999999999</v>
      </c>
    </row>
    <row r="45" spans="1:13" x14ac:dyDescent="0.3">
      <c r="A45" t="s">
        <v>19</v>
      </c>
      <c r="B45" t="s">
        <v>84</v>
      </c>
      <c r="C45" s="25">
        <v>12</v>
      </c>
      <c r="D45" s="25">
        <v>326.20000000000005</v>
      </c>
      <c r="F45" t="str">
        <f t="shared" si="3"/>
        <v>California</v>
      </c>
      <c r="G45" t="str">
        <f t="shared" si="2"/>
        <v>Calaveras County</v>
      </c>
      <c r="H45">
        <f t="shared" si="2"/>
        <v>12</v>
      </c>
      <c r="K45" t="str">
        <f t="shared" si="4"/>
        <v>California</v>
      </c>
      <c r="L45" t="str">
        <f t="shared" si="4"/>
        <v>Calaveras County</v>
      </c>
      <c r="M45">
        <f t="shared" si="5"/>
        <v>326.20000000000005</v>
      </c>
    </row>
    <row r="46" spans="1:13" x14ac:dyDescent="0.3">
      <c r="A46" t="s">
        <v>19</v>
      </c>
      <c r="B46" t="s">
        <v>1383</v>
      </c>
      <c r="C46" s="25">
        <v>4</v>
      </c>
      <c r="D46" s="25">
        <v>167.5</v>
      </c>
      <c r="F46" t="str">
        <f t="shared" si="3"/>
        <v>California</v>
      </c>
      <c r="G46" t="str">
        <f t="shared" si="2"/>
        <v>Colusa County</v>
      </c>
      <c r="H46">
        <f t="shared" si="2"/>
        <v>4</v>
      </c>
      <c r="K46" t="str">
        <f t="shared" si="4"/>
        <v>California</v>
      </c>
      <c r="L46" t="str">
        <f t="shared" si="4"/>
        <v>Colusa County</v>
      </c>
      <c r="M46">
        <f t="shared" si="5"/>
        <v>167.5</v>
      </c>
    </row>
    <row r="47" spans="1:13" x14ac:dyDescent="0.3">
      <c r="A47" t="s">
        <v>19</v>
      </c>
      <c r="B47" t="s">
        <v>24</v>
      </c>
      <c r="C47" s="25">
        <v>341</v>
      </c>
      <c r="D47" s="25">
        <v>16168.7</v>
      </c>
      <c r="F47" t="str">
        <f t="shared" si="3"/>
        <v>California</v>
      </c>
      <c r="G47" t="str">
        <f t="shared" si="2"/>
        <v>Contra Costa County</v>
      </c>
      <c r="H47">
        <f t="shared" si="2"/>
        <v>341</v>
      </c>
      <c r="K47" t="str">
        <f t="shared" si="4"/>
        <v>California</v>
      </c>
      <c r="L47" t="str">
        <f t="shared" si="4"/>
        <v>Contra Costa County</v>
      </c>
      <c r="M47">
        <f t="shared" si="5"/>
        <v>16168.7</v>
      </c>
    </row>
    <row r="48" spans="1:13" x14ac:dyDescent="0.3">
      <c r="A48" t="s">
        <v>19</v>
      </c>
      <c r="B48" t="s">
        <v>2204</v>
      </c>
      <c r="C48" s="25">
        <v>13</v>
      </c>
      <c r="D48" s="25">
        <v>322.40000000000003</v>
      </c>
      <c r="F48" t="str">
        <f t="shared" si="3"/>
        <v>California</v>
      </c>
      <c r="G48" t="str">
        <f t="shared" si="2"/>
        <v>Del Norte County</v>
      </c>
      <c r="H48">
        <f t="shared" si="2"/>
        <v>13</v>
      </c>
      <c r="K48" t="str">
        <f t="shared" si="4"/>
        <v>California</v>
      </c>
      <c r="L48" t="str">
        <f t="shared" si="4"/>
        <v>Del Norte County</v>
      </c>
      <c r="M48">
        <f t="shared" si="5"/>
        <v>322.40000000000003</v>
      </c>
    </row>
    <row r="49" spans="1:13" x14ac:dyDescent="0.3">
      <c r="A49" t="s">
        <v>19</v>
      </c>
      <c r="B49" t="s">
        <v>437</v>
      </c>
      <c r="C49" s="25">
        <v>31</v>
      </c>
      <c r="D49" s="25">
        <v>2092.8000000000002</v>
      </c>
      <c r="F49" t="str">
        <f t="shared" si="3"/>
        <v>California</v>
      </c>
      <c r="G49" t="str">
        <f t="shared" si="2"/>
        <v>El Dorado County</v>
      </c>
      <c r="H49">
        <f t="shared" si="2"/>
        <v>31</v>
      </c>
      <c r="K49" t="str">
        <f t="shared" si="4"/>
        <v>California</v>
      </c>
      <c r="L49" t="str">
        <f t="shared" si="4"/>
        <v>El Dorado County</v>
      </c>
      <c r="M49">
        <f t="shared" si="5"/>
        <v>2092.8000000000002</v>
      </c>
    </row>
    <row r="50" spans="1:13" x14ac:dyDescent="0.3">
      <c r="A50" t="s">
        <v>19</v>
      </c>
      <c r="B50" t="s">
        <v>28</v>
      </c>
      <c r="C50" s="25">
        <v>279</v>
      </c>
      <c r="D50" s="25">
        <v>12662.500000000002</v>
      </c>
      <c r="F50" t="str">
        <f t="shared" si="3"/>
        <v>California</v>
      </c>
      <c r="G50" t="str">
        <f t="shared" si="2"/>
        <v>Fresno County</v>
      </c>
      <c r="H50">
        <f t="shared" si="2"/>
        <v>279</v>
      </c>
      <c r="K50" t="str">
        <f t="shared" si="4"/>
        <v>California</v>
      </c>
      <c r="L50" t="str">
        <f t="shared" si="4"/>
        <v>Fresno County</v>
      </c>
      <c r="M50">
        <f t="shared" si="5"/>
        <v>12662.500000000002</v>
      </c>
    </row>
    <row r="51" spans="1:13" x14ac:dyDescent="0.3">
      <c r="A51" t="s">
        <v>19</v>
      </c>
      <c r="B51" t="s">
        <v>208</v>
      </c>
      <c r="C51" s="25">
        <v>9</v>
      </c>
      <c r="D51" s="25">
        <v>343.2</v>
      </c>
      <c r="F51" t="str">
        <f t="shared" si="3"/>
        <v>California</v>
      </c>
      <c r="G51" t="str">
        <f t="shared" si="2"/>
        <v>Glenn County</v>
      </c>
      <c r="H51">
        <f t="shared" si="2"/>
        <v>9</v>
      </c>
      <c r="K51" t="str">
        <f t="shared" si="4"/>
        <v>California</v>
      </c>
      <c r="L51" t="str">
        <f t="shared" si="4"/>
        <v>Glenn County</v>
      </c>
      <c r="M51">
        <f t="shared" si="5"/>
        <v>343.2</v>
      </c>
    </row>
    <row r="52" spans="1:13" x14ac:dyDescent="0.3">
      <c r="A52" t="s">
        <v>19</v>
      </c>
      <c r="B52" t="s">
        <v>587</v>
      </c>
      <c r="C52" s="25">
        <v>49</v>
      </c>
      <c r="D52" s="25">
        <v>2188.2999999999997</v>
      </c>
      <c r="F52" t="str">
        <f t="shared" si="3"/>
        <v>California</v>
      </c>
      <c r="G52" t="str">
        <f t="shared" si="2"/>
        <v>Humboldt County</v>
      </c>
      <c r="H52">
        <f t="shared" si="2"/>
        <v>49</v>
      </c>
      <c r="K52" t="str">
        <f t="shared" si="4"/>
        <v>California</v>
      </c>
      <c r="L52" t="str">
        <f t="shared" si="4"/>
        <v>Humboldt County</v>
      </c>
      <c r="M52">
        <f t="shared" si="5"/>
        <v>2188.2999999999997</v>
      </c>
    </row>
    <row r="53" spans="1:13" x14ac:dyDescent="0.3">
      <c r="A53" t="s">
        <v>19</v>
      </c>
      <c r="B53" t="s">
        <v>331</v>
      </c>
      <c r="C53" s="25">
        <v>59</v>
      </c>
      <c r="D53" s="25">
        <v>2661.5999999999995</v>
      </c>
      <c r="F53" t="str">
        <f t="shared" si="3"/>
        <v>California</v>
      </c>
      <c r="G53" t="str">
        <f t="shared" si="2"/>
        <v>Imperial County</v>
      </c>
      <c r="H53">
        <f t="shared" si="2"/>
        <v>59</v>
      </c>
      <c r="K53" t="str">
        <f t="shared" si="4"/>
        <v>California</v>
      </c>
      <c r="L53" t="str">
        <f t="shared" si="4"/>
        <v>Imperial County</v>
      </c>
      <c r="M53">
        <f t="shared" si="5"/>
        <v>2661.5999999999995</v>
      </c>
    </row>
    <row r="54" spans="1:13" x14ac:dyDescent="0.3">
      <c r="A54" t="s">
        <v>19</v>
      </c>
      <c r="B54" t="s">
        <v>86</v>
      </c>
      <c r="C54" s="25">
        <v>8</v>
      </c>
      <c r="D54" s="25">
        <v>887.5</v>
      </c>
      <c r="F54" t="str">
        <f t="shared" si="3"/>
        <v>California</v>
      </c>
      <c r="G54" t="str">
        <f t="shared" si="2"/>
        <v>Inyo County</v>
      </c>
      <c r="H54">
        <f t="shared" si="2"/>
        <v>8</v>
      </c>
      <c r="K54" t="str">
        <f t="shared" si="4"/>
        <v>California</v>
      </c>
      <c r="L54" t="str">
        <f t="shared" si="4"/>
        <v>Inyo County</v>
      </c>
      <c r="M54">
        <f t="shared" si="5"/>
        <v>887.5</v>
      </c>
    </row>
    <row r="55" spans="1:13" x14ac:dyDescent="0.3">
      <c r="A55" t="s">
        <v>19</v>
      </c>
      <c r="B55" t="s">
        <v>147</v>
      </c>
      <c r="C55" s="25">
        <v>222</v>
      </c>
      <c r="D55" s="25">
        <v>11354.199999999993</v>
      </c>
      <c r="F55" t="str">
        <f t="shared" si="3"/>
        <v>California</v>
      </c>
      <c r="G55" t="str">
        <f t="shared" si="2"/>
        <v>Kern County</v>
      </c>
      <c r="H55">
        <f t="shared" si="2"/>
        <v>222</v>
      </c>
      <c r="K55" t="str">
        <f t="shared" si="4"/>
        <v>California</v>
      </c>
      <c r="L55" t="str">
        <f t="shared" si="4"/>
        <v>Kern County</v>
      </c>
      <c r="M55">
        <f t="shared" si="5"/>
        <v>11354.199999999993</v>
      </c>
    </row>
    <row r="56" spans="1:13" x14ac:dyDescent="0.3">
      <c r="A56" t="s">
        <v>19</v>
      </c>
      <c r="B56" t="s">
        <v>334</v>
      </c>
      <c r="C56" s="25">
        <v>36</v>
      </c>
      <c r="D56" s="25">
        <v>1558.4</v>
      </c>
      <c r="F56" t="str">
        <f t="shared" si="3"/>
        <v>California</v>
      </c>
      <c r="G56" t="str">
        <f t="shared" si="2"/>
        <v>Kings County</v>
      </c>
      <c r="H56">
        <f t="shared" si="2"/>
        <v>36</v>
      </c>
      <c r="K56" t="str">
        <f t="shared" si="4"/>
        <v>California</v>
      </c>
      <c r="L56" t="str">
        <f t="shared" si="4"/>
        <v>Kings County</v>
      </c>
      <c r="M56">
        <f t="shared" si="5"/>
        <v>1558.4</v>
      </c>
    </row>
    <row r="57" spans="1:13" x14ac:dyDescent="0.3">
      <c r="A57" t="s">
        <v>19</v>
      </c>
      <c r="B57" t="s">
        <v>949</v>
      </c>
      <c r="C57" s="25">
        <v>30</v>
      </c>
      <c r="D57" s="25">
        <v>2223.9</v>
      </c>
      <c r="F57" t="str">
        <f t="shared" si="3"/>
        <v>California</v>
      </c>
      <c r="G57" t="str">
        <f t="shared" ref="G57:G95" si="6">IF(B57="","",B57)</f>
        <v>Lake County</v>
      </c>
      <c r="H57">
        <f t="shared" ref="H57:H95" si="7">IF(C57="","",C57)</f>
        <v>30</v>
      </c>
      <c r="K57" t="str">
        <f t="shared" si="4"/>
        <v>California</v>
      </c>
      <c r="L57" t="str">
        <f t="shared" si="4"/>
        <v>Lake County</v>
      </c>
      <c r="M57">
        <f t="shared" si="5"/>
        <v>2223.9</v>
      </c>
    </row>
    <row r="58" spans="1:13" x14ac:dyDescent="0.3">
      <c r="A58" t="s">
        <v>19</v>
      </c>
      <c r="B58" t="s">
        <v>1426</v>
      </c>
      <c r="C58" s="25">
        <v>1</v>
      </c>
      <c r="D58" s="25">
        <v>26.2</v>
      </c>
      <c r="F58" t="str">
        <f t="shared" si="3"/>
        <v>California</v>
      </c>
      <c r="G58" t="str">
        <f t="shared" si="6"/>
        <v>Lassen County</v>
      </c>
      <c r="H58">
        <f t="shared" si="7"/>
        <v>1</v>
      </c>
      <c r="K58" t="str">
        <f t="shared" si="4"/>
        <v>California</v>
      </c>
      <c r="L58" t="str">
        <f t="shared" si="4"/>
        <v>Lassen County</v>
      </c>
      <c r="M58">
        <f t="shared" si="5"/>
        <v>26.2</v>
      </c>
    </row>
    <row r="59" spans="1:13" x14ac:dyDescent="0.3">
      <c r="A59" t="s">
        <v>19</v>
      </c>
      <c r="B59" t="s">
        <v>33</v>
      </c>
      <c r="C59" s="25">
        <v>3991</v>
      </c>
      <c r="D59" s="25">
        <v>215551.19999999981</v>
      </c>
      <c r="F59" t="str">
        <f t="shared" si="3"/>
        <v>California</v>
      </c>
      <c r="G59" t="str">
        <f t="shared" si="6"/>
        <v>Los Angeles County</v>
      </c>
      <c r="H59">
        <f t="shared" si="7"/>
        <v>3991</v>
      </c>
      <c r="K59" t="str">
        <f t="shared" si="4"/>
        <v>California</v>
      </c>
      <c r="L59" t="str">
        <f t="shared" si="4"/>
        <v>Los Angeles County</v>
      </c>
      <c r="M59">
        <f t="shared" si="5"/>
        <v>215551.19999999981</v>
      </c>
    </row>
    <row r="60" spans="1:13" x14ac:dyDescent="0.3">
      <c r="A60" t="s">
        <v>19</v>
      </c>
      <c r="B60" t="s">
        <v>364</v>
      </c>
      <c r="C60" s="25">
        <v>45</v>
      </c>
      <c r="D60" s="25">
        <v>2687.3999999999996</v>
      </c>
      <c r="F60" t="str">
        <f t="shared" si="3"/>
        <v>California</v>
      </c>
      <c r="G60" t="str">
        <f t="shared" si="6"/>
        <v>Madera County</v>
      </c>
      <c r="H60">
        <f t="shared" si="7"/>
        <v>45</v>
      </c>
      <c r="K60" t="str">
        <f t="shared" si="4"/>
        <v>California</v>
      </c>
      <c r="L60" t="str">
        <f t="shared" si="4"/>
        <v>Madera County</v>
      </c>
      <c r="M60">
        <f t="shared" si="5"/>
        <v>2687.3999999999996</v>
      </c>
    </row>
    <row r="61" spans="1:13" x14ac:dyDescent="0.3">
      <c r="A61" t="s">
        <v>19</v>
      </c>
      <c r="B61" t="s">
        <v>545</v>
      </c>
      <c r="C61" s="25">
        <v>39</v>
      </c>
      <c r="D61" s="25">
        <v>1463.3000000000002</v>
      </c>
      <c r="F61" t="str">
        <f t="shared" si="3"/>
        <v>California</v>
      </c>
      <c r="G61" t="str">
        <f t="shared" si="6"/>
        <v>Marin County</v>
      </c>
      <c r="H61">
        <f t="shared" si="7"/>
        <v>39</v>
      </c>
      <c r="K61" t="str">
        <f t="shared" si="4"/>
        <v>California</v>
      </c>
      <c r="L61" t="str">
        <f t="shared" si="4"/>
        <v>Marin County</v>
      </c>
      <c r="M61">
        <f t="shared" si="5"/>
        <v>1463.3000000000002</v>
      </c>
    </row>
    <row r="62" spans="1:13" x14ac:dyDescent="0.3">
      <c r="A62" t="s">
        <v>19</v>
      </c>
      <c r="B62" t="s">
        <v>416</v>
      </c>
      <c r="C62" s="25">
        <v>6</v>
      </c>
      <c r="D62" s="25">
        <v>445.79999999999995</v>
      </c>
      <c r="F62" t="str">
        <f t="shared" si="3"/>
        <v>California</v>
      </c>
      <c r="G62" t="str">
        <f t="shared" si="6"/>
        <v>Mariposa County</v>
      </c>
      <c r="H62">
        <f t="shared" si="7"/>
        <v>6</v>
      </c>
      <c r="K62" t="str">
        <f t="shared" si="4"/>
        <v>California</v>
      </c>
      <c r="L62" t="str">
        <f t="shared" si="4"/>
        <v>Mariposa County</v>
      </c>
      <c r="M62">
        <f t="shared" si="5"/>
        <v>445.79999999999995</v>
      </c>
    </row>
    <row r="63" spans="1:13" x14ac:dyDescent="0.3">
      <c r="A63" t="s">
        <v>19</v>
      </c>
      <c r="B63" t="s">
        <v>258</v>
      </c>
      <c r="C63" s="25">
        <v>9</v>
      </c>
      <c r="D63" s="25">
        <v>273.59999999999997</v>
      </c>
      <c r="F63" t="str">
        <f t="shared" si="3"/>
        <v>California</v>
      </c>
      <c r="G63" t="str">
        <f t="shared" si="6"/>
        <v>Mendocino County</v>
      </c>
      <c r="H63">
        <f t="shared" si="7"/>
        <v>9</v>
      </c>
      <c r="K63" t="str">
        <f t="shared" si="4"/>
        <v>California</v>
      </c>
      <c r="L63" t="str">
        <f t="shared" si="4"/>
        <v>Mendocino County</v>
      </c>
      <c r="M63">
        <f t="shared" si="5"/>
        <v>273.59999999999997</v>
      </c>
    </row>
    <row r="64" spans="1:13" x14ac:dyDescent="0.3">
      <c r="A64" t="s">
        <v>19</v>
      </c>
      <c r="B64" t="s">
        <v>186</v>
      </c>
      <c r="C64" s="25">
        <v>60</v>
      </c>
      <c r="D64" s="25">
        <v>2690.4</v>
      </c>
      <c r="F64" t="str">
        <f t="shared" si="3"/>
        <v>California</v>
      </c>
      <c r="G64" t="str">
        <f t="shared" si="6"/>
        <v>Merced County</v>
      </c>
      <c r="H64">
        <f t="shared" si="7"/>
        <v>60</v>
      </c>
      <c r="K64" t="str">
        <f t="shared" si="4"/>
        <v>California</v>
      </c>
      <c r="L64" t="str">
        <f t="shared" si="4"/>
        <v>Merced County</v>
      </c>
      <c r="M64">
        <f t="shared" si="5"/>
        <v>2690.4</v>
      </c>
    </row>
    <row r="65" spans="1:13" x14ac:dyDescent="0.3">
      <c r="A65" t="s">
        <v>19</v>
      </c>
      <c r="B65" t="s">
        <v>392</v>
      </c>
      <c r="C65" s="25">
        <v>2</v>
      </c>
      <c r="D65" s="25">
        <v>28.4</v>
      </c>
      <c r="F65" t="str">
        <f t="shared" si="3"/>
        <v>California</v>
      </c>
      <c r="G65" t="str">
        <f t="shared" si="6"/>
        <v>Modoc County</v>
      </c>
      <c r="H65">
        <f t="shared" si="7"/>
        <v>2</v>
      </c>
      <c r="K65" t="str">
        <f t="shared" si="4"/>
        <v>California</v>
      </c>
      <c r="L65" t="str">
        <f t="shared" si="4"/>
        <v>Modoc County</v>
      </c>
      <c r="M65">
        <f t="shared" si="5"/>
        <v>28.4</v>
      </c>
    </row>
    <row r="66" spans="1:13" x14ac:dyDescent="0.3">
      <c r="A66" t="s">
        <v>19</v>
      </c>
      <c r="B66" t="s">
        <v>670</v>
      </c>
      <c r="C66" s="25">
        <v>4</v>
      </c>
      <c r="D66" s="25">
        <v>204.8</v>
      </c>
      <c r="F66" t="str">
        <f t="shared" si="3"/>
        <v>California</v>
      </c>
      <c r="G66" t="str">
        <f t="shared" si="6"/>
        <v>Mono County</v>
      </c>
      <c r="H66">
        <f t="shared" si="7"/>
        <v>4</v>
      </c>
      <c r="K66" t="str">
        <f t="shared" si="4"/>
        <v>California</v>
      </c>
      <c r="L66" t="str">
        <f t="shared" si="4"/>
        <v>Mono County</v>
      </c>
      <c r="M66">
        <f t="shared" si="5"/>
        <v>204.8</v>
      </c>
    </row>
    <row r="67" spans="1:13" x14ac:dyDescent="0.3">
      <c r="A67" t="s">
        <v>19</v>
      </c>
      <c r="B67" t="s">
        <v>802</v>
      </c>
      <c r="C67" s="25">
        <v>31</v>
      </c>
      <c r="D67" s="25">
        <v>1607.8999999999999</v>
      </c>
      <c r="F67" t="str">
        <f t="shared" si="3"/>
        <v>California</v>
      </c>
      <c r="G67" t="str">
        <f t="shared" si="6"/>
        <v>Monterey County</v>
      </c>
      <c r="H67">
        <f t="shared" si="7"/>
        <v>31</v>
      </c>
      <c r="K67" t="str">
        <f t="shared" si="4"/>
        <v>California</v>
      </c>
      <c r="L67" t="str">
        <f t="shared" si="4"/>
        <v>Monterey County</v>
      </c>
      <c r="M67">
        <f t="shared" si="5"/>
        <v>1607.8999999999999</v>
      </c>
    </row>
    <row r="68" spans="1:13" x14ac:dyDescent="0.3">
      <c r="A68" t="s">
        <v>19</v>
      </c>
      <c r="B68" t="s">
        <v>98</v>
      </c>
      <c r="C68" s="25">
        <v>88</v>
      </c>
      <c r="D68" s="25">
        <v>6444.9</v>
      </c>
      <c r="F68" t="str">
        <f t="shared" si="3"/>
        <v>California</v>
      </c>
      <c r="G68" t="str">
        <f t="shared" si="6"/>
        <v>Napa County</v>
      </c>
      <c r="H68">
        <f t="shared" si="7"/>
        <v>88</v>
      </c>
      <c r="K68" t="str">
        <f t="shared" si="4"/>
        <v>California</v>
      </c>
      <c r="L68" t="str">
        <f t="shared" si="4"/>
        <v>Napa County</v>
      </c>
      <c r="M68">
        <f t="shared" si="5"/>
        <v>6444.9</v>
      </c>
    </row>
    <row r="69" spans="1:13" x14ac:dyDescent="0.3">
      <c r="A69" t="s">
        <v>19</v>
      </c>
      <c r="B69" t="s">
        <v>49</v>
      </c>
      <c r="C69" s="25">
        <v>25</v>
      </c>
      <c r="D69" s="25">
        <v>1809.3</v>
      </c>
      <c r="F69" t="str">
        <f t="shared" si="3"/>
        <v>California</v>
      </c>
      <c r="G69" t="str">
        <f t="shared" si="6"/>
        <v>Nevada County</v>
      </c>
      <c r="H69">
        <f t="shared" si="7"/>
        <v>25</v>
      </c>
      <c r="K69" t="str">
        <f t="shared" si="4"/>
        <v>California</v>
      </c>
      <c r="L69" t="str">
        <f t="shared" si="4"/>
        <v>Nevada County</v>
      </c>
      <c r="M69">
        <f t="shared" si="5"/>
        <v>1809.3</v>
      </c>
    </row>
    <row r="70" spans="1:13" x14ac:dyDescent="0.3">
      <c r="A70" t="s">
        <v>19</v>
      </c>
      <c r="B70" t="s">
        <v>188</v>
      </c>
      <c r="C70" s="25">
        <v>178</v>
      </c>
      <c r="D70" s="25">
        <v>9680.399999999996</v>
      </c>
      <c r="F70" t="str">
        <f t="shared" si="3"/>
        <v>California</v>
      </c>
      <c r="G70" t="str">
        <f t="shared" si="6"/>
        <v>Orange County</v>
      </c>
      <c r="H70">
        <f t="shared" si="7"/>
        <v>178</v>
      </c>
      <c r="K70" t="str">
        <f t="shared" si="4"/>
        <v>California</v>
      </c>
      <c r="L70" t="str">
        <f t="shared" si="4"/>
        <v>Orange County</v>
      </c>
      <c r="M70">
        <f t="shared" si="5"/>
        <v>9680.399999999996</v>
      </c>
    </row>
    <row r="71" spans="1:13" x14ac:dyDescent="0.3">
      <c r="A71" t="s">
        <v>19</v>
      </c>
      <c r="B71" t="s">
        <v>52</v>
      </c>
      <c r="C71" s="25">
        <v>141</v>
      </c>
      <c r="D71" s="25">
        <v>9414.7999999999993</v>
      </c>
      <c r="F71" t="str">
        <f t="shared" si="3"/>
        <v>California</v>
      </c>
      <c r="G71" t="str">
        <f t="shared" si="6"/>
        <v>Placer County</v>
      </c>
      <c r="H71">
        <f t="shared" si="7"/>
        <v>141</v>
      </c>
      <c r="K71" t="str">
        <f t="shared" si="4"/>
        <v>California</v>
      </c>
      <c r="L71" t="str">
        <f t="shared" si="4"/>
        <v>Placer County</v>
      </c>
      <c r="M71">
        <f t="shared" si="5"/>
        <v>9414.7999999999993</v>
      </c>
    </row>
    <row r="72" spans="1:13" x14ac:dyDescent="0.3">
      <c r="A72" t="s">
        <v>19</v>
      </c>
      <c r="B72" t="s">
        <v>338</v>
      </c>
      <c r="C72" s="25">
        <v>6</v>
      </c>
      <c r="D72" s="25">
        <v>206.1</v>
      </c>
      <c r="F72" t="str">
        <f t="shared" si="3"/>
        <v>California</v>
      </c>
      <c r="G72" t="str">
        <f t="shared" si="6"/>
        <v>Plumas County</v>
      </c>
      <c r="H72">
        <f t="shared" si="7"/>
        <v>6</v>
      </c>
      <c r="K72" t="str">
        <f t="shared" si="4"/>
        <v>California</v>
      </c>
      <c r="L72" t="str">
        <f t="shared" si="4"/>
        <v>Plumas County</v>
      </c>
      <c r="M72">
        <f t="shared" si="5"/>
        <v>206.1</v>
      </c>
    </row>
    <row r="73" spans="1:13" x14ac:dyDescent="0.3">
      <c r="A73" t="s">
        <v>19</v>
      </c>
      <c r="B73" t="s">
        <v>158</v>
      </c>
      <c r="C73" s="25">
        <v>178</v>
      </c>
      <c r="D73" s="25">
        <v>7691.3</v>
      </c>
      <c r="F73" t="str">
        <f t="shared" si="3"/>
        <v>California</v>
      </c>
      <c r="G73" t="str">
        <f t="shared" si="6"/>
        <v>Riverside County</v>
      </c>
      <c r="H73">
        <f t="shared" si="7"/>
        <v>178</v>
      </c>
      <c r="K73" t="str">
        <f t="shared" si="4"/>
        <v>California</v>
      </c>
      <c r="L73" t="str">
        <f t="shared" si="4"/>
        <v>Riverside County</v>
      </c>
      <c r="M73">
        <f t="shared" si="5"/>
        <v>7691.3</v>
      </c>
    </row>
    <row r="74" spans="1:13" x14ac:dyDescent="0.3">
      <c r="A74" t="s">
        <v>19</v>
      </c>
      <c r="B74" t="s">
        <v>55</v>
      </c>
      <c r="C74" s="25">
        <v>699</v>
      </c>
      <c r="D74" s="25">
        <v>37784.900000000016</v>
      </c>
      <c r="F74" t="str">
        <f t="shared" si="3"/>
        <v>California</v>
      </c>
      <c r="G74" t="str">
        <f t="shared" si="6"/>
        <v>Sacramento County</v>
      </c>
      <c r="H74">
        <f t="shared" si="7"/>
        <v>699</v>
      </c>
      <c r="K74" t="str">
        <f t="shared" si="4"/>
        <v>California</v>
      </c>
      <c r="L74" t="str">
        <f t="shared" si="4"/>
        <v>Sacramento County</v>
      </c>
      <c r="M74">
        <f t="shared" si="5"/>
        <v>37784.900000000016</v>
      </c>
    </row>
    <row r="75" spans="1:13" x14ac:dyDescent="0.3">
      <c r="A75" t="s">
        <v>19</v>
      </c>
      <c r="B75" t="s">
        <v>342</v>
      </c>
      <c r="C75" s="25">
        <v>23</v>
      </c>
      <c r="D75" s="25">
        <v>1129.7</v>
      </c>
      <c r="F75" t="str">
        <f t="shared" si="3"/>
        <v>California</v>
      </c>
      <c r="G75" t="str">
        <f t="shared" si="6"/>
        <v>San Benito County</v>
      </c>
      <c r="H75">
        <f t="shared" si="7"/>
        <v>23</v>
      </c>
      <c r="K75" t="str">
        <f t="shared" si="4"/>
        <v>California</v>
      </c>
      <c r="L75" t="str">
        <f t="shared" si="4"/>
        <v>San Benito County</v>
      </c>
      <c r="M75">
        <f t="shared" si="5"/>
        <v>1129.7</v>
      </c>
    </row>
    <row r="76" spans="1:13" x14ac:dyDescent="0.3">
      <c r="A76" t="s">
        <v>19</v>
      </c>
      <c r="B76" t="s">
        <v>59</v>
      </c>
      <c r="C76" s="25">
        <v>356</v>
      </c>
      <c r="D76" s="25">
        <v>20988.9</v>
      </c>
      <c r="F76" t="str">
        <f t="shared" si="3"/>
        <v>California</v>
      </c>
      <c r="G76" t="str">
        <f t="shared" si="6"/>
        <v>San Bernardino County</v>
      </c>
      <c r="H76">
        <f t="shared" si="7"/>
        <v>356</v>
      </c>
      <c r="K76" t="str">
        <f t="shared" si="4"/>
        <v>California</v>
      </c>
      <c r="L76" t="str">
        <f t="shared" si="4"/>
        <v>San Bernardino County</v>
      </c>
      <c r="M76">
        <f t="shared" si="5"/>
        <v>20988.9</v>
      </c>
    </row>
    <row r="77" spans="1:13" x14ac:dyDescent="0.3">
      <c r="A77" t="s">
        <v>19</v>
      </c>
      <c r="B77" t="s">
        <v>62</v>
      </c>
      <c r="C77" s="25">
        <v>1768</v>
      </c>
      <c r="D77" s="25">
        <v>98367.099999999977</v>
      </c>
      <c r="F77" t="str">
        <f t="shared" si="3"/>
        <v>California</v>
      </c>
      <c r="G77" t="str">
        <f t="shared" si="6"/>
        <v>San Diego County</v>
      </c>
      <c r="H77">
        <f t="shared" si="7"/>
        <v>1768</v>
      </c>
      <c r="K77" t="str">
        <f t="shared" si="4"/>
        <v>California</v>
      </c>
      <c r="L77" t="str">
        <f t="shared" si="4"/>
        <v>San Diego County</v>
      </c>
      <c r="M77">
        <f t="shared" si="5"/>
        <v>98367.099999999977</v>
      </c>
    </row>
    <row r="78" spans="1:13" x14ac:dyDescent="0.3">
      <c r="A78" t="s">
        <v>19</v>
      </c>
      <c r="B78" t="s">
        <v>103</v>
      </c>
      <c r="C78" s="25">
        <v>307</v>
      </c>
      <c r="D78" s="25">
        <v>21911.9</v>
      </c>
      <c r="F78" t="str">
        <f t="shared" si="3"/>
        <v>California</v>
      </c>
      <c r="G78" t="str">
        <f t="shared" si="6"/>
        <v>San Francisco</v>
      </c>
      <c r="H78">
        <f t="shared" si="7"/>
        <v>307</v>
      </c>
    </row>
    <row r="79" spans="1:13" x14ac:dyDescent="0.3">
      <c r="A79" t="s">
        <v>19</v>
      </c>
      <c r="B79" t="s">
        <v>201</v>
      </c>
      <c r="C79" s="25">
        <v>117</v>
      </c>
      <c r="D79" s="25">
        <v>5441.2</v>
      </c>
      <c r="F79" t="str">
        <f t="shared" si="3"/>
        <v>California</v>
      </c>
      <c r="G79" t="str">
        <f t="shared" si="6"/>
        <v>San Joaquin County</v>
      </c>
      <c r="H79">
        <f t="shared" si="7"/>
        <v>117</v>
      </c>
    </row>
    <row r="80" spans="1:13" x14ac:dyDescent="0.3">
      <c r="A80" t="s">
        <v>19</v>
      </c>
      <c r="B80" t="s">
        <v>429</v>
      </c>
      <c r="C80" s="25">
        <v>13</v>
      </c>
      <c r="D80" s="25">
        <v>392.8</v>
      </c>
      <c r="F80" t="str">
        <f t="shared" si="3"/>
        <v>California</v>
      </c>
      <c r="G80" t="str">
        <f t="shared" si="6"/>
        <v>San Luis Obispo County</v>
      </c>
      <c r="H80">
        <f t="shared" si="7"/>
        <v>13</v>
      </c>
    </row>
    <row r="81" spans="1:8" x14ac:dyDescent="0.3">
      <c r="A81" t="s">
        <v>19</v>
      </c>
      <c r="B81" t="s">
        <v>72</v>
      </c>
      <c r="C81" s="25">
        <v>364</v>
      </c>
      <c r="D81" s="25">
        <v>16172.000000000005</v>
      </c>
      <c r="F81" t="str">
        <f t="shared" si="3"/>
        <v>California</v>
      </c>
      <c r="G81" t="str">
        <f t="shared" si="6"/>
        <v>San Mateo County</v>
      </c>
      <c r="H81">
        <f t="shared" si="7"/>
        <v>364</v>
      </c>
    </row>
    <row r="82" spans="1:8" x14ac:dyDescent="0.3">
      <c r="A82" t="s">
        <v>19</v>
      </c>
      <c r="B82" t="s">
        <v>74</v>
      </c>
      <c r="C82" s="25">
        <v>95</v>
      </c>
      <c r="D82" s="25">
        <v>4334.9999999999991</v>
      </c>
      <c r="F82" t="str">
        <f t="shared" si="3"/>
        <v>California</v>
      </c>
      <c r="G82" t="str">
        <f t="shared" si="6"/>
        <v>Santa Barbara County</v>
      </c>
      <c r="H82">
        <f t="shared" si="7"/>
        <v>95</v>
      </c>
    </row>
    <row r="83" spans="1:8" x14ac:dyDescent="0.3">
      <c r="A83" t="s">
        <v>19</v>
      </c>
      <c r="B83" t="s">
        <v>77</v>
      </c>
      <c r="C83" s="25">
        <v>737</v>
      </c>
      <c r="D83" s="25">
        <v>37449.000000000007</v>
      </c>
      <c r="F83" t="str">
        <f t="shared" si="3"/>
        <v>California</v>
      </c>
      <c r="G83" t="str">
        <f t="shared" si="6"/>
        <v>Santa Clara County</v>
      </c>
      <c r="H83">
        <f t="shared" si="7"/>
        <v>737</v>
      </c>
    </row>
    <row r="84" spans="1:8" x14ac:dyDescent="0.3">
      <c r="A84" t="s">
        <v>19</v>
      </c>
      <c r="B84" t="s">
        <v>309</v>
      </c>
      <c r="C84" s="25">
        <v>39</v>
      </c>
      <c r="D84" s="25">
        <v>2447.5</v>
      </c>
      <c r="F84" t="str">
        <f t="shared" si="3"/>
        <v>California</v>
      </c>
      <c r="G84" t="str">
        <f t="shared" si="6"/>
        <v>Santa Cruz County</v>
      </c>
      <c r="H84">
        <f t="shared" si="7"/>
        <v>39</v>
      </c>
    </row>
    <row r="85" spans="1:8" x14ac:dyDescent="0.3">
      <c r="A85" t="s">
        <v>19</v>
      </c>
      <c r="B85" t="s">
        <v>1116</v>
      </c>
      <c r="C85" s="25">
        <v>56</v>
      </c>
      <c r="D85" s="25">
        <v>3391.1</v>
      </c>
      <c r="F85" t="str">
        <f t="shared" si="3"/>
        <v>California</v>
      </c>
      <c r="G85" t="str">
        <f t="shared" si="6"/>
        <v>Shasta County</v>
      </c>
      <c r="H85">
        <f t="shared" si="7"/>
        <v>56</v>
      </c>
    </row>
    <row r="86" spans="1:8" x14ac:dyDescent="0.3">
      <c r="A86" t="s">
        <v>19</v>
      </c>
      <c r="B86" t="s">
        <v>700</v>
      </c>
      <c r="C86" s="25">
        <v>2</v>
      </c>
      <c r="D86" s="25">
        <v>30.8</v>
      </c>
      <c r="F86" t="str">
        <f t="shared" si="3"/>
        <v>California</v>
      </c>
      <c r="G86" t="str">
        <f t="shared" si="6"/>
        <v>Sierra County</v>
      </c>
      <c r="H86">
        <f t="shared" si="7"/>
        <v>2</v>
      </c>
    </row>
    <row r="87" spans="1:8" x14ac:dyDescent="0.3">
      <c r="A87" t="s">
        <v>19</v>
      </c>
      <c r="B87" t="s">
        <v>268</v>
      </c>
      <c r="C87" s="25">
        <v>8</v>
      </c>
      <c r="D87" s="25">
        <v>332.3</v>
      </c>
      <c r="F87" t="str">
        <f t="shared" si="3"/>
        <v>California</v>
      </c>
      <c r="G87" t="str">
        <f t="shared" si="6"/>
        <v>Siskiyou County</v>
      </c>
      <c r="H87">
        <f t="shared" si="7"/>
        <v>8</v>
      </c>
    </row>
    <row r="88" spans="1:8" x14ac:dyDescent="0.3">
      <c r="A88" t="s">
        <v>19</v>
      </c>
      <c r="B88" t="s">
        <v>377</v>
      </c>
      <c r="C88" s="25">
        <v>52</v>
      </c>
      <c r="D88" s="25">
        <v>3175.9999999999995</v>
      </c>
      <c r="F88" t="str">
        <f t="shared" si="3"/>
        <v>California</v>
      </c>
      <c r="G88" t="str">
        <f t="shared" si="6"/>
        <v>Solano County</v>
      </c>
      <c r="H88">
        <f t="shared" si="7"/>
        <v>52</v>
      </c>
    </row>
    <row r="89" spans="1:8" x14ac:dyDescent="0.3">
      <c r="A89" t="s">
        <v>19</v>
      </c>
      <c r="B89" t="s">
        <v>108</v>
      </c>
      <c r="C89" s="25">
        <v>295</v>
      </c>
      <c r="D89" s="25">
        <v>20939.600000000002</v>
      </c>
      <c r="F89" t="str">
        <f t="shared" si="3"/>
        <v>California</v>
      </c>
      <c r="G89" t="str">
        <f t="shared" si="6"/>
        <v>Sonoma County</v>
      </c>
      <c r="H89">
        <f t="shared" si="7"/>
        <v>295</v>
      </c>
    </row>
    <row r="90" spans="1:8" x14ac:dyDescent="0.3">
      <c r="A90" t="s">
        <v>19</v>
      </c>
      <c r="B90" t="s">
        <v>110</v>
      </c>
      <c r="C90" s="25">
        <v>195</v>
      </c>
      <c r="D90" s="25">
        <v>10185.899999999996</v>
      </c>
      <c r="F90" t="str">
        <f t="shared" si="3"/>
        <v>California</v>
      </c>
      <c r="G90" t="str">
        <f t="shared" si="6"/>
        <v>Stanislaus County</v>
      </c>
      <c r="H90">
        <f t="shared" si="7"/>
        <v>195</v>
      </c>
    </row>
    <row r="91" spans="1:8" x14ac:dyDescent="0.3">
      <c r="A91" t="s">
        <v>19</v>
      </c>
      <c r="B91" t="s">
        <v>292</v>
      </c>
      <c r="C91" s="25">
        <v>20</v>
      </c>
      <c r="D91" s="25">
        <v>958.7</v>
      </c>
      <c r="F91" t="str">
        <f t="shared" si="3"/>
        <v>California</v>
      </c>
      <c r="G91" t="str">
        <f t="shared" si="6"/>
        <v>Sutter County</v>
      </c>
      <c r="H91">
        <f t="shared" si="7"/>
        <v>20</v>
      </c>
    </row>
    <row r="92" spans="1:8" x14ac:dyDescent="0.3">
      <c r="A92" t="s">
        <v>19</v>
      </c>
      <c r="B92" t="s">
        <v>79</v>
      </c>
      <c r="C92" s="25">
        <v>6</v>
      </c>
      <c r="D92" s="25">
        <v>323</v>
      </c>
      <c r="F92" t="str">
        <f t="shared" si="3"/>
        <v>California</v>
      </c>
      <c r="G92" t="str">
        <f t="shared" si="6"/>
        <v>Tehama County</v>
      </c>
      <c r="H92">
        <f t="shared" si="7"/>
        <v>6</v>
      </c>
    </row>
    <row r="93" spans="1:8" x14ac:dyDescent="0.3">
      <c r="A93" t="s">
        <v>19</v>
      </c>
      <c r="B93" t="s">
        <v>608</v>
      </c>
      <c r="C93" s="25">
        <v>5</v>
      </c>
      <c r="D93" s="25">
        <v>167.70000000000002</v>
      </c>
      <c r="F93" t="str">
        <f t="shared" si="3"/>
        <v>California</v>
      </c>
      <c r="G93" t="str">
        <f t="shared" si="6"/>
        <v>Trinity County</v>
      </c>
      <c r="H93">
        <f t="shared" si="7"/>
        <v>5</v>
      </c>
    </row>
    <row r="94" spans="1:8" x14ac:dyDescent="0.3">
      <c r="A94" t="s">
        <v>19</v>
      </c>
      <c r="B94" t="s">
        <v>113</v>
      </c>
      <c r="C94" s="25">
        <v>94</v>
      </c>
      <c r="D94" s="25">
        <v>3978.5</v>
      </c>
      <c r="F94" t="str">
        <f t="shared" si="3"/>
        <v>California</v>
      </c>
      <c r="G94" t="str">
        <f t="shared" si="6"/>
        <v>Tulare County</v>
      </c>
      <c r="H94">
        <f t="shared" si="7"/>
        <v>94</v>
      </c>
    </row>
    <row r="95" spans="1:8" x14ac:dyDescent="0.3">
      <c r="A95" t="s">
        <v>19</v>
      </c>
      <c r="B95" t="s">
        <v>997</v>
      </c>
      <c r="C95" s="25">
        <v>28</v>
      </c>
      <c r="D95" s="25">
        <v>1405</v>
      </c>
      <c r="F95" t="str">
        <f t="shared" si="3"/>
        <v>California</v>
      </c>
      <c r="G95" t="str">
        <f t="shared" si="6"/>
        <v>Tuolumne County</v>
      </c>
      <c r="H95">
        <f t="shared" si="7"/>
        <v>28</v>
      </c>
    </row>
    <row r="96" spans="1:8" x14ac:dyDescent="0.3">
      <c r="A96" t="s">
        <v>19</v>
      </c>
      <c r="B96" t="s">
        <v>82</v>
      </c>
      <c r="C96" s="25">
        <v>179</v>
      </c>
      <c r="D96" s="25">
        <v>9869.0999999999985</v>
      </c>
    </row>
    <row r="97" spans="1:4" x14ac:dyDescent="0.3">
      <c r="A97" t="s">
        <v>19</v>
      </c>
      <c r="B97" t="s">
        <v>243</v>
      </c>
      <c r="C97" s="25">
        <v>15</v>
      </c>
      <c r="D97" s="25">
        <v>615.29999999999995</v>
      </c>
    </row>
    <row r="98" spans="1:4" x14ac:dyDescent="0.3">
      <c r="A98" t="s">
        <v>19</v>
      </c>
      <c r="B98" t="s">
        <v>1911</v>
      </c>
      <c r="C98" s="25">
        <v>3</v>
      </c>
      <c r="D98" s="25">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4CFB3-1C87-43C0-9D6A-C2FACE9CC3E8}">
  <dimension ref="A5:G36"/>
  <sheetViews>
    <sheetView topLeftCell="A18" workbookViewId="0">
      <selection activeCell="F8" sqref="F8"/>
    </sheetView>
  </sheetViews>
  <sheetFormatPr defaultRowHeight="14.4" x14ac:dyDescent="0.3"/>
  <cols>
    <col min="1" max="1" width="12.5546875" bestFit="1" customWidth="1"/>
    <col min="2" max="2" width="13.21875" bestFit="1" customWidth="1"/>
    <col min="3" max="4" width="4" bestFit="1" customWidth="1"/>
    <col min="5" max="5" width="5" bestFit="1" customWidth="1"/>
    <col min="6" max="6" width="4" bestFit="1" customWidth="1"/>
    <col min="7" max="7" width="10.77734375" bestFit="1" customWidth="1"/>
    <col min="8" max="32" width="9" customWidth="1"/>
    <col min="33" max="89" width="9.44140625" customWidth="1"/>
    <col min="90" max="90" width="10.5546875" customWidth="1"/>
  </cols>
  <sheetData>
    <row r="5" spans="1:2" x14ac:dyDescent="0.3">
      <c r="A5" t="s">
        <v>2573</v>
      </c>
    </row>
    <row r="8" spans="1:2" x14ac:dyDescent="0.3">
      <c r="A8" s="12" t="s">
        <v>2557</v>
      </c>
      <c r="B8" t="s">
        <v>2548</v>
      </c>
    </row>
    <row r="9" spans="1:2" x14ac:dyDescent="0.3">
      <c r="A9" s="13">
        <v>0</v>
      </c>
      <c r="B9" s="25">
        <v>175</v>
      </c>
    </row>
    <row r="10" spans="1:2" x14ac:dyDescent="0.3">
      <c r="A10" s="13">
        <v>1</v>
      </c>
      <c r="B10" s="25">
        <v>888</v>
      </c>
    </row>
    <row r="11" spans="1:2" x14ac:dyDescent="0.3">
      <c r="A11" s="13">
        <v>2</v>
      </c>
      <c r="B11" s="25">
        <v>538</v>
      </c>
    </row>
    <row r="12" spans="1:2" x14ac:dyDescent="0.3">
      <c r="A12" s="13">
        <v>3</v>
      </c>
      <c r="B12" s="25">
        <v>344</v>
      </c>
    </row>
    <row r="13" spans="1:2" x14ac:dyDescent="0.3">
      <c r="A13" s="13">
        <v>4</v>
      </c>
      <c r="B13" s="25">
        <v>200</v>
      </c>
    </row>
    <row r="14" spans="1:2" x14ac:dyDescent="0.3">
      <c r="A14" s="13">
        <v>5</v>
      </c>
      <c r="B14" s="25">
        <v>94</v>
      </c>
    </row>
    <row r="15" spans="1:2" x14ac:dyDescent="0.3">
      <c r="A15" s="13">
        <v>6</v>
      </c>
      <c r="B15" s="25">
        <v>51</v>
      </c>
    </row>
    <row r="16" spans="1:2" x14ac:dyDescent="0.3">
      <c r="A16" s="13">
        <v>7</v>
      </c>
      <c r="B16" s="25">
        <v>32</v>
      </c>
    </row>
    <row r="17" spans="1:7" x14ac:dyDescent="0.3">
      <c r="A17" s="13">
        <v>8</v>
      </c>
      <c r="B17" s="25">
        <v>23</v>
      </c>
    </row>
    <row r="18" spans="1:7" x14ac:dyDescent="0.3">
      <c r="A18" s="13">
        <v>9</v>
      </c>
      <c r="B18" s="25">
        <v>9</v>
      </c>
    </row>
    <row r="19" spans="1:7" x14ac:dyDescent="0.3">
      <c r="A19" s="13">
        <v>10</v>
      </c>
      <c r="B19" s="25">
        <v>8</v>
      </c>
    </row>
    <row r="20" spans="1:7" x14ac:dyDescent="0.3">
      <c r="A20" s="13">
        <v>11</v>
      </c>
      <c r="B20" s="25">
        <v>11</v>
      </c>
    </row>
    <row r="21" spans="1:7" x14ac:dyDescent="0.3">
      <c r="A21" s="13">
        <v>12</v>
      </c>
      <c r="B21" s="25">
        <v>4</v>
      </c>
    </row>
    <row r="22" spans="1:7" x14ac:dyDescent="0.3">
      <c r="A22" s="13">
        <v>13</v>
      </c>
      <c r="B22" s="25">
        <v>10</v>
      </c>
    </row>
    <row r="23" spans="1:7" x14ac:dyDescent="0.3">
      <c r="A23" s="13">
        <v>14</v>
      </c>
      <c r="B23" s="25">
        <v>13</v>
      </c>
    </row>
    <row r="24" spans="1:7" x14ac:dyDescent="0.3">
      <c r="A24" s="13" t="s">
        <v>2558</v>
      </c>
      <c r="B24" s="25">
        <v>2400</v>
      </c>
    </row>
    <row r="29" spans="1:7" x14ac:dyDescent="0.3">
      <c r="A29" t="s">
        <v>2574</v>
      </c>
    </row>
    <row r="31" spans="1:7" x14ac:dyDescent="0.3">
      <c r="A31" s="12" t="s">
        <v>2548</v>
      </c>
      <c r="B31" s="12" t="s">
        <v>2559</v>
      </c>
    </row>
    <row r="32" spans="1:7" x14ac:dyDescent="0.3">
      <c r="A32" s="12" t="s">
        <v>2557</v>
      </c>
      <c r="B32">
        <v>1</v>
      </c>
      <c r="C32">
        <v>2</v>
      </c>
      <c r="D32">
        <v>3</v>
      </c>
      <c r="E32">
        <v>4</v>
      </c>
      <c r="F32">
        <v>5</v>
      </c>
      <c r="G32" t="s">
        <v>2558</v>
      </c>
    </row>
    <row r="33" spans="1:7" x14ac:dyDescent="0.3">
      <c r="A33" s="13" t="s">
        <v>2575</v>
      </c>
      <c r="B33" s="25">
        <v>7</v>
      </c>
      <c r="C33" s="25">
        <v>37</v>
      </c>
      <c r="D33" s="25">
        <v>150</v>
      </c>
      <c r="E33" s="25">
        <v>312</v>
      </c>
      <c r="F33" s="25">
        <v>224</v>
      </c>
      <c r="G33" s="25">
        <v>730</v>
      </c>
    </row>
    <row r="34" spans="1:7" x14ac:dyDescent="0.3">
      <c r="A34" s="13" t="s">
        <v>2576</v>
      </c>
      <c r="B34" s="25">
        <v>8</v>
      </c>
      <c r="C34" s="25">
        <v>51</v>
      </c>
      <c r="D34" s="25">
        <v>182</v>
      </c>
      <c r="E34" s="25">
        <v>373</v>
      </c>
      <c r="F34" s="25">
        <v>247</v>
      </c>
      <c r="G34" s="25">
        <v>861</v>
      </c>
    </row>
    <row r="35" spans="1:7" x14ac:dyDescent="0.3">
      <c r="A35" s="13" t="s">
        <v>2577</v>
      </c>
      <c r="B35" s="25">
        <v>6</v>
      </c>
      <c r="C35" s="25">
        <v>39</v>
      </c>
      <c r="D35" s="25">
        <v>163</v>
      </c>
      <c r="E35" s="25">
        <v>351</v>
      </c>
      <c r="F35" s="25">
        <v>250</v>
      </c>
      <c r="G35" s="25">
        <v>809</v>
      </c>
    </row>
    <row r="36" spans="1:7" x14ac:dyDescent="0.3">
      <c r="A36" s="13" t="s">
        <v>2558</v>
      </c>
      <c r="B36" s="25">
        <v>21</v>
      </c>
      <c r="C36" s="25">
        <v>127</v>
      </c>
      <c r="D36" s="25">
        <v>495</v>
      </c>
      <c r="E36" s="25">
        <v>1036</v>
      </c>
      <c r="F36" s="25">
        <v>721</v>
      </c>
      <c r="G36" s="25">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opLeftCell="V1" workbookViewId="0">
      <selection activeCell="B16" sqref="B16"/>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E1"/>
  <sheetViews>
    <sheetView showGridLines="0" tabSelected="1" showRuler="0" zoomScale="78" zoomScaleNormal="48" workbookViewId="0">
      <selection activeCell="H44" sqref="H44"/>
    </sheetView>
  </sheetViews>
  <sheetFormatPr defaultRowHeight="14.4" x14ac:dyDescent="0.3"/>
  <cols>
    <col min="1" max="1" width="3.33203125" customWidth="1"/>
    <col min="2" max="2" width="22.21875" customWidth="1"/>
    <col min="3" max="4" width="3.33203125" customWidth="1"/>
    <col min="5" max="25" width="10.6640625" customWidth="1"/>
    <col min="26" max="26" width="9.21875" customWidth="1"/>
  </cols>
  <sheetData>
    <row r="1" spans="5:5" x14ac:dyDescent="0.3">
      <c r="E1" t="s">
        <v>2568</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3:H24"/>
  <sheetViews>
    <sheetView topLeftCell="A5" zoomScale="78" workbookViewId="0">
      <selection activeCell="G18" sqref="G18"/>
    </sheetView>
  </sheetViews>
  <sheetFormatPr defaultRowHeight="14.4" x14ac:dyDescent="0.3"/>
  <cols>
    <col min="1" max="1" width="3.33203125" customWidth="1"/>
    <col min="8" max="8" width="37.33203125" customWidth="1"/>
  </cols>
  <sheetData>
    <row r="3" spans="2:8" x14ac:dyDescent="0.3">
      <c r="B3" t="s">
        <v>2518</v>
      </c>
    </row>
    <row r="4" spans="2:8" x14ac:dyDescent="0.3">
      <c r="H4" s="11"/>
    </row>
    <row r="5" spans="2:8" x14ac:dyDescent="0.3">
      <c r="B5" t="s">
        <v>2519</v>
      </c>
      <c r="H5" s="11"/>
    </row>
    <row r="6" spans="2:8" x14ac:dyDescent="0.3">
      <c r="B6" s="5"/>
      <c r="C6" t="s">
        <v>2520</v>
      </c>
      <c r="D6" t="s">
        <v>2526</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Summary &amp; Trends</vt:lpstr>
      <vt:lpstr>Matrix</vt:lpstr>
      <vt:lpstr>Qty Distribution</vt:lpstr>
      <vt:lpstr>Product &amp; Map</vt:lpstr>
      <vt:lpstr>Duration &amp; Rating</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Anurag Singh</cp:lastModifiedBy>
  <dcterms:created xsi:type="dcterms:W3CDTF">2025-06-13T02:42:26Z</dcterms:created>
  <dcterms:modified xsi:type="dcterms:W3CDTF">2025-11-28T06:55:24Z</dcterms:modified>
</cp:coreProperties>
</file>